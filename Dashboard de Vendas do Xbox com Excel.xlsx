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a\Documents\"/>
    </mc:Choice>
  </mc:AlternateContent>
  <xr:revisionPtr revIDLastSave="0" documentId="8_{08470E04-15C5-419E-A834-396BF4C23B94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3" l="1"/>
  <c r="I10" i="3"/>
</calcChain>
</file>

<file path=xl/sharedStrings.xml><?xml version="1.0" encoding="utf-8"?>
<sst xmlns="http://schemas.openxmlformats.org/spreadsheetml/2006/main" count="2016" uniqueCount="321">
  <si>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</si>
  <si>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</si>
  <si>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</si>
  <si>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</si>
  <si>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</si>
  <si>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</si>
  <si>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</si>
  <si>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</si>
  <si>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</si>
  <si>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</si>
  <si>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</si>
  <si>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</si>
  <si>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</si>
  <si>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</si>
  <si>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</si>
  <si>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</si>
  <si>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</si>
  <si>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</si>
  <si>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</si>
  <si>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</si>
  <si>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</si>
  <si>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</si>
  <si>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</si>
  <si>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</si>
  <si>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</si>
  <si>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</si>
  <si>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</si>
  <si>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</si>
  <si>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</si>
  <si>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</si>
  <si>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</si>
  <si>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</si>
  <si>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</si>
  <si>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</si>
  <si>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</si>
  <si>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</si>
  <si>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</si>
  <si>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</si>
  <si>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</si>
  <si>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</si>
  <si>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</si>
  <si>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</si>
  <si>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</si>
  <si>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</si>
  <si>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</si>
  <si>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</si>
  <si>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</si>
  <si>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</si>
  <si>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</si>
  <si>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</si>
  <si>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</si>
  <si>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</si>
  <si>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</si>
  <si>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</si>
  <si>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</si>
  <si>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</si>
  <si>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</si>
  <si>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</si>
  <si>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</si>
  <si>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</si>
  <si>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</si>
  <si>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</si>
  <si>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</si>
  <si>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</si>
  <si>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</si>
  <si>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</si>
  <si>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</si>
  <si>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</si>
  <si>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</si>
  <si>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</si>
  <si>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</si>
  <si>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</si>
  <si>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</si>
  <si>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</si>
  <si>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</si>
  <si>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</si>
  <si>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</si>
  <si>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</si>
  <si>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</si>
  <si>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</si>
  <si>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</si>
  <si>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</si>
  <si>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</si>
  <si>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</si>
  <si>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</si>
  <si>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</si>
  <si>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</si>
  <si>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</si>
  <si>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</si>
  <si>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</si>
  <si>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</si>
  <si>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</si>
  <si>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</si>
  <si>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</si>
  <si>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</si>
  <si>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</si>
  <si>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</si>
  <si>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</si>
  <si>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</si>
  <si>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</si>
  <si>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</si>
  <si>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</si>
  <si>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</si>
  <si>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</si>
  <si>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</si>
  <si>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</si>
  <si>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</si>
  <si>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</si>
  <si>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</si>
  <si>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</si>
  <si>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</si>
  <si>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</si>
  <si>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</si>
  <si>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</si>
  <si>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</si>
  <si>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</si>
  <si>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</si>
  <si>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</si>
  <si>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</si>
  <si>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</si>
  <si>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</si>
  <si>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</si>
  <si>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</si>
  <si>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</si>
  <si>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</si>
  <si>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</si>
  <si>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</si>
  <si>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</si>
  <si>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</si>
  <si>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</si>
  <si>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</si>
  <si>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</si>
  <si>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</si>
  <si>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</si>
  <si>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</si>
  <si>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</si>
  <si>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</si>
  <si>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</si>
  <si>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</si>
  <si>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</si>
  <si>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</si>
  <si>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</si>
  <si>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</si>
  <si>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</si>
  <si>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</si>
  <si>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</si>
  <si>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</si>
  <si>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</si>
  <si>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</si>
  <si>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</si>
  <si>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</si>
  <si>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</si>
  <si>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</si>
  <si>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</si>
  <si>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</si>
  <si>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</si>
  <si>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</si>
  <si>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</si>
  <si>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</si>
  <si>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</si>
  <si>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</si>
  <si>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</si>
  <si>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</si>
  <si>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</si>
  <si>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</si>
  <si>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</si>
  <si>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</si>
  <si>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</si>
  <si>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</si>
  <si>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</si>
  <si>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</si>
  <si>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</si>
  <si>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</si>
  <si>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</si>
  <si>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</si>
  <si>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</si>
  <si>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</si>
  <si>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</si>
  <si>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</si>
  <si>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</si>
  <si>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</si>
  <si>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</si>
  <si>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</si>
  <si>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</si>
  <si>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</si>
  <si>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</si>
  <si>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</si>
  <si>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</si>
  <si>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</si>
  <si>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</si>
  <si>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</si>
  <si>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</si>
  <si>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</si>
  <si>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</si>
  <si>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</si>
  <si>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</si>
  <si>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</si>
  <si>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</si>
  <si>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</si>
  <si>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</si>
  <si>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</si>
  <si>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</si>
  <si>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</si>
  <si>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</si>
  <si>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</si>
  <si>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</si>
  <si>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</si>
  <si>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</si>
  <si>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</si>
  <si>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</si>
  <si>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</si>
  <si>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</si>
  <si>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</si>
  <si>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</si>
  <si>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</si>
  <si>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</si>
  <si>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</si>
  <si>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</si>
  <si>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</si>
  <si>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</si>
  <si>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</si>
  <si>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</si>
  <si>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</si>
  <si>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</si>
  <si>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</si>
  <si>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</si>
  <si>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</si>
  <si>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</si>
  <si>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</si>
  <si>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</si>
  <si>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</si>
  <si>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</si>
  <si>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</si>
  <si>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</si>
  <si>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</si>
  <si>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</si>
  <si>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</si>
  <si>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</si>
  <si>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</si>
  <si>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</si>
  <si>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</si>
  <si>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</si>
  <si>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</si>
  <si>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</si>
  <si>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</si>
  <si>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</si>
  <si>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</si>
  <si>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</si>
  <si>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</si>
  <si>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</si>
  <si>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</si>
  <si>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</si>
  <si>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</si>
  <si>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</si>
  <si>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</si>
  <si>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</si>
  <si>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</si>
  <si>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</si>
  <si>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</si>
  <si>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</si>
  <si>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</si>
  <si>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</si>
  <si>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</si>
  <si>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</si>
  <si>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</si>
  <si>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</si>
  <si>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</si>
  <si>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</si>
  <si>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</si>
  <si>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</si>
  <si>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</si>
  <si>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</si>
  <si>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</si>
  <si>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</si>
  <si>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</si>
  <si>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</si>
  <si>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</si>
  <si>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</si>
  <si>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</si>
  <si>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</si>
  <si>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</si>
  <si>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</si>
  <si>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</si>
  <si>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</si>
  <si>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</si>
  <si>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</si>
  <si>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</si>
  <si>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</si>
  <si>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</si>
  <si>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</si>
  <si>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</si>
  <si>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</si>
  <si>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</si>
  <si>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</si>
  <si>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</si>
  <si>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</si>
  <si>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</si>
  <si>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</si>
  <si>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</si>
  <si>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</si>
  <si>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</si>
  <si>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</si>
  <si>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</si>
  <si>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</si>
  <si>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</si>
  <si>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</si>
  <si>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</si>
  <si>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</si>
  <si>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</si>
  <si>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</si>
  <si>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</si>
  <si>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</si>
  <si>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</si>
  <si>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</si>
  <si>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Coluna</t>
  </si>
  <si>
    <t>Total Geral</t>
  </si>
  <si>
    <t>Rótulos de Linha</t>
  </si>
  <si>
    <t>Soma de EA Play Season Pass</t>
  </si>
  <si>
    <t>XBOX  GAME PASS SUBSCRIPTIONS SALES</t>
  </si>
  <si>
    <t>Soma de Minecraft Season Pass Price</t>
  </si>
  <si>
    <t>Calculation period: 01/01/2024 - 31/12/2024 | Uptade date: 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</si>
</sst>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4" fillId="0" borderId="2" xfId="1" applyFont="1" applyBorder="1"/>
    <xf numFmtId="0" fontId="5" fillId="0" borderId="2" xfId="0" applyFont="1" applyBorder="1"/>
    <xf numFmtId="165" fontId="0" fillId="0" borderId="0" xfId="2" applyNumberFormat="1" applyFont="1"/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Excel.xlsx]C̳álculos!Tabela dinâmica1</c:name>
    <c:fmtId val="5"/>
  </c:pivotSource>
  <c:chart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477495769881555E-2"/>
                  <c:h val="0.11567147856517936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3333333333333333E-2"/>
          <c:y val="7.407407407407407E-2"/>
          <c:w val="0.85491699662330078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77495769881555E-2"/>
                      <c:h val="0.115671478565179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BCC-4B89-91A1-21811B2FEA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C̳álculos!$C$5</c:f>
              <c:numCache>
                <c:formatCode>_("R$"* #,##0.00_);_("R$"* \(#,##0.00\);_("R$"* "-"??_);_(@_)</c:formatCode>
                <c:ptCount val="1"/>
                <c:pt idx="0">
                  <c:v>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C-4B89-91A1-21811B2FEACD}"/>
            </c:ext>
          </c:extLst>
        </c:ser>
        <c:ser>
          <c:idx val="1"/>
          <c:order val="1"/>
          <c:tx>
            <c:strRef>
              <c:f>C̳álculos!$D$3:$D$4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C̳álculos!$D$5</c:f>
              <c:numCache>
                <c:formatCode>_("R$"* #,##0.00_);_("R$"* \(#,##0.00\);_("R$"* "-"??_);_(@_)</c:formatCode>
                <c:ptCount val="1"/>
                <c:pt idx="0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C-4B89-91A1-21811B2FE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031007"/>
        <c:axId val="147030527"/>
      </c:barChart>
      <c:catAx>
        <c:axId val="147031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030527"/>
        <c:crosses val="autoZero"/>
        <c:auto val="1"/>
        <c:lblAlgn val="ctr"/>
        <c:lblOffset val="100"/>
        <c:noMultiLvlLbl val="0"/>
      </c:catAx>
      <c:valAx>
        <c:axId val="1470305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703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35719</xdr:rowOff>
    </xdr:from>
    <xdr:to>
      <xdr:col>5</xdr:col>
      <xdr:colOff>405247</xdr:colOff>
      <xdr:row>0</xdr:row>
      <xdr:rowOff>1381125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5B917C-CE59-484E-8B99-FB62CFAC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719"/>
          <a:ext cx="3798528" cy="1345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35719</xdr:rowOff>
    </xdr:from>
    <xdr:to>
      <xdr:col>2</xdr:col>
      <xdr:colOff>257175</xdr:colOff>
      <xdr:row>16</xdr:row>
      <xdr:rowOff>119063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25F4121F-CF3D-48BD-85F0-4FD7E0405B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9556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309562</xdr:colOff>
      <xdr:row>3</xdr:row>
      <xdr:rowOff>223838</xdr:rowOff>
    </xdr:from>
    <xdr:to>
      <xdr:col>10</xdr:col>
      <xdr:colOff>261938</xdr:colOff>
      <xdr:row>14</xdr:row>
      <xdr:rowOff>116684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4BC74139-B41D-8C9A-DAEA-34694B5DDF6F}"/>
            </a:ext>
          </a:extLst>
        </xdr:cNvPr>
        <xdr:cNvGrpSpPr/>
      </xdr:nvGrpSpPr>
      <xdr:grpSpPr>
        <a:xfrm>
          <a:off x="2488406" y="2486026"/>
          <a:ext cx="4202907" cy="2393158"/>
          <a:chOff x="2214562" y="2536031"/>
          <a:chExt cx="4202907" cy="239315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EBB7239-27A3-2438-B5FD-55C3F8A63C6B}"/>
              </a:ext>
            </a:extLst>
          </xdr:cNvPr>
          <xdr:cNvSpPr/>
        </xdr:nvSpPr>
        <xdr:spPr>
          <a:xfrm>
            <a:off x="2226468" y="2547938"/>
            <a:ext cx="4191000" cy="2226469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I1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E48AEE5B-30CB-477A-A6D3-AD847F9ABA89}"/>
              </a:ext>
            </a:extLst>
          </xdr:cNvPr>
          <xdr:cNvSpPr/>
        </xdr:nvSpPr>
        <xdr:spPr>
          <a:xfrm>
            <a:off x="3719514" y="3664745"/>
            <a:ext cx="2674143" cy="1264444"/>
          </a:xfrm>
          <a:prstGeom prst="round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t>     </a:t>
            </a:r>
            <a:fld id="{67BAA951-0F77-42AF-8500-3D09FA259F5C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t>R$ 1.350,00</a:t>
            </a:fld>
            <a:endParaRPr lang="pt-BR" sz="28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E8D42BC6-B293-46AD-AA0D-4289592C1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3656" y="3369468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F902DD68-7382-FA52-09FB-439EE0F05AA9}"/>
              </a:ext>
            </a:extLst>
          </xdr:cNvPr>
          <xdr:cNvSpPr/>
        </xdr:nvSpPr>
        <xdr:spPr>
          <a:xfrm>
            <a:off x="2214562" y="2536031"/>
            <a:ext cx="4202907" cy="7143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</a:t>
            </a:r>
            <a:r>
              <a:rPr lang="pt-BR" sz="16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6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SUBSCRIPTONS EA PLAY SEASONS </a:t>
            </a:r>
            <a:endParaRPr lang="pt-BR">
              <a:effectLst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11</xdr:col>
      <xdr:colOff>200024</xdr:colOff>
      <xdr:row>3</xdr:row>
      <xdr:rowOff>223838</xdr:rowOff>
    </xdr:from>
    <xdr:to>
      <xdr:col>19</xdr:col>
      <xdr:colOff>104776</xdr:colOff>
      <xdr:row>14</xdr:row>
      <xdr:rowOff>104777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23D7118-1C04-410C-986C-6B7C92E4F772}"/>
            </a:ext>
          </a:extLst>
        </xdr:cNvPr>
        <xdr:cNvGrpSpPr/>
      </xdr:nvGrpSpPr>
      <xdr:grpSpPr>
        <a:xfrm>
          <a:off x="7236618" y="2486026"/>
          <a:ext cx="4595814" cy="2381251"/>
          <a:chOff x="2178843" y="2536031"/>
          <a:chExt cx="4595814" cy="2381251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ED24FCBE-981D-0A05-2B72-27A5F26CE9AF}"/>
              </a:ext>
            </a:extLst>
          </xdr:cNvPr>
          <xdr:cNvSpPr/>
        </xdr:nvSpPr>
        <xdr:spPr>
          <a:xfrm>
            <a:off x="2202656" y="2595563"/>
            <a:ext cx="4191000" cy="2226469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17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CE2D7D4C-36E3-CBBA-F601-A4A6E2D7CD02}"/>
              </a:ext>
            </a:extLst>
          </xdr:cNvPr>
          <xdr:cNvSpPr/>
        </xdr:nvSpPr>
        <xdr:spPr>
          <a:xfrm>
            <a:off x="4100514" y="3652838"/>
            <a:ext cx="2674143" cy="1264444"/>
          </a:xfrm>
          <a:prstGeom prst="roundRect">
            <a:avLst/>
          </a:prstGeom>
          <a:noFill/>
          <a:ln>
            <a:noFill/>
          </a:ln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C376469E-7D36-400F-A9DB-962E8A583F07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R$ 1.800,00</a:t>
            </a:fld>
            <a:endParaRPr lang="pt-BR" sz="6600">
              <a:solidFill>
                <a:srgbClr val="22C55E"/>
              </a:solidFill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2A16129B-7C24-3C60-CF77-0ACFCEE231E4}"/>
              </a:ext>
            </a:extLst>
          </xdr:cNvPr>
          <xdr:cNvSpPr/>
        </xdr:nvSpPr>
        <xdr:spPr>
          <a:xfrm>
            <a:off x="2178843" y="2536031"/>
            <a:ext cx="4205288" cy="7143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</a:t>
            </a:r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4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SUBSCRIPTONS MINECRAFT  SEASONS </a:t>
            </a:r>
            <a:endParaRPr lang="pt-BR">
              <a:effectLst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11</xdr:col>
      <xdr:colOff>402430</xdr:colOff>
      <xdr:row>6</xdr:row>
      <xdr:rowOff>414339</xdr:rowOff>
    </xdr:from>
    <xdr:to>
      <xdr:col>14</xdr:col>
      <xdr:colOff>296937</xdr:colOff>
      <xdr:row>10</xdr:row>
      <xdr:rowOff>178596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C38CAD05-B9D4-45D1-9C02-C7F242CAE904}"/>
            </a:ext>
          </a:extLst>
        </xdr:cNvPr>
        <xdr:cNvGrpSpPr/>
      </xdr:nvGrpSpPr>
      <xdr:grpSpPr>
        <a:xfrm>
          <a:off x="7439024" y="3426620"/>
          <a:ext cx="1549476" cy="752476"/>
          <a:chOff x="3495675" y="5400674"/>
          <a:chExt cx="1549476" cy="752476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7EEF345E-B9C1-9401-6FF9-085125C703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082FD39F-BA26-099E-A40D-88C2ECCB83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583405</xdr:colOff>
      <xdr:row>16</xdr:row>
      <xdr:rowOff>107158</xdr:rowOff>
    </xdr:from>
    <xdr:to>
      <xdr:col>18</xdr:col>
      <xdr:colOff>380999</xdr:colOff>
      <xdr:row>31</xdr:row>
      <xdr:rowOff>16669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F2B8F054-7518-950D-11AD-9ABA547F5C36}"/>
            </a:ext>
          </a:extLst>
        </xdr:cNvPr>
        <xdr:cNvGrpSpPr/>
      </xdr:nvGrpSpPr>
      <xdr:grpSpPr>
        <a:xfrm>
          <a:off x="2155030" y="5250658"/>
          <a:ext cx="9346407" cy="2767011"/>
          <a:chOff x="2155030" y="5250658"/>
          <a:chExt cx="9394032" cy="2767011"/>
        </a:xfrm>
      </xdr:grpSpPr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7EDA867E-869D-4FC9-92DA-5EE94D4B24AB}"/>
              </a:ext>
            </a:extLst>
          </xdr:cNvPr>
          <xdr:cNvGraphicFramePr>
            <a:graphicFrameLocks/>
          </xdr:cNvGraphicFramePr>
        </xdr:nvGraphicFramePr>
        <xdr:xfrm>
          <a:off x="2155030" y="5274469"/>
          <a:ext cx="938212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386EA29C-2397-78C9-73AF-6EA102B5DA98}"/>
              </a:ext>
            </a:extLst>
          </xdr:cNvPr>
          <xdr:cNvSpPr/>
        </xdr:nvSpPr>
        <xdr:spPr>
          <a:xfrm>
            <a:off x="2155031" y="5250658"/>
            <a:ext cx="9394031" cy="559593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</a:t>
            </a:r>
            <a:r>
              <a:rPr lang="pt-BR" sz="2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2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SUBSCRIPTONS XBOX GAME PASS </a:t>
            </a:r>
            <a:endParaRPr lang="pt-BR" sz="2400">
              <a:effectLst/>
            </a:endParaRPr>
          </a:p>
          <a:p>
            <a:pPr algn="l"/>
            <a:endParaRPr lang="pt-BR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a Lacerda" refreshedDate="46310.556297453702" createdVersion="8" refreshedVersion="8" minRefreshableVersion="3" recordCount="295" xr:uid="{A9092122-5391-4E52-91B2-7214059D0ED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4467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x v="0"/>
    <n v="20"/>
    <n v="5"/>
    <n v="60"/>
  </r>
  <r>
    <n v="3232"/>
    <s v="Maria Oliveira"/>
    <x v="1"/>
    <d v="2024-01-15T00:00:00"/>
    <x v="1"/>
    <n v="5"/>
    <x v="1"/>
    <x v="1"/>
    <x v="1"/>
    <x v="1"/>
    <n v="0"/>
    <n v="0"/>
    <n v="5"/>
  </r>
  <r>
    <n v="3233"/>
    <s v="Lucas Fernandes"/>
    <x v="2"/>
    <d v="2024-02-10T00:00:00"/>
    <x v="0"/>
    <n v="10"/>
    <x v="2"/>
    <x v="1"/>
    <x v="1"/>
    <x v="0"/>
    <n v="20"/>
    <n v="10"/>
    <n v="20"/>
  </r>
  <r>
    <n v="3234"/>
    <s v="Ana Souza"/>
    <x v="0"/>
    <d v="2024-02-20T00:00:00"/>
    <x v="1"/>
    <n v="15"/>
    <x v="0"/>
    <x v="0"/>
    <x v="0"/>
    <x v="0"/>
    <n v="20"/>
    <n v="3"/>
    <n v="62"/>
  </r>
  <r>
    <n v="3235"/>
    <s v="Pedro Gonçalves"/>
    <x v="1"/>
    <d v="2024-03-05T00:00:00"/>
    <x v="0"/>
    <n v="5"/>
    <x v="0"/>
    <x v="1"/>
    <x v="1"/>
    <x v="1"/>
    <n v="0"/>
    <n v="1"/>
    <n v="4"/>
  </r>
  <r>
    <n v="3236"/>
    <s v="Felipe Costa"/>
    <x v="2"/>
    <d v="2024-03-02T00:00:00"/>
    <x v="1"/>
    <n v="10"/>
    <x v="0"/>
    <x v="1"/>
    <x v="1"/>
    <x v="0"/>
    <n v="20"/>
    <n v="2"/>
    <n v="28"/>
  </r>
  <r>
    <n v="3237"/>
    <s v="Camila Ribeiro"/>
    <x v="0"/>
    <d v="2024-03-03T00:00:00"/>
    <x v="0"/>
    <n v="15"/>
    <x v="2"/>
    <x v="0"/>
    <x v="0"/>
    <x v="0"/>
    <n v="20"/>
    <n v="10"/>
    <n v="55"/>
  </r>
  <r>
    <n v="3238"/>
    <s v="André Mendes"/>
    <x v="1"/>
    <d v="2024-03-04T00:00:00"/>
    <x v="0"/>
    <n v="5"/>
    <x v="1"/>
    <x v="1"/>
    <x v="1"/>
    <x v="1"/>
    <n v="0"/>
    <n v="0"/>
    <n v="5"/>
  </r>
  <r>
    <n v="3239"/>
    <s v="Sofia Almeida"/>
    <x v="0"/>
    <d v="2024-03-05T00:00:00"/>
    <x v="1"/>
    <n v="15"/>
    <x v="0"/>
    <x v="0"/>
    <x v="0"/>
    <x v="0"/>
    <n v="20"/>
    <n v="5"/>
    <n v="60"/>
  </r>
  <r>
    <n v="3240"/>
    <s v="Bruno Martins"/>
    <x v="2"/>
    <d v="2024-03-06T00:00:00"/>
    <x v="0"/>
    <n v="10"/>
    <x v="2"/>
    <x v="1"/>
    <x v="1"/>
    <x v="0"/>
    <n v="20"/>
    <n v="15"/>
    <n v="15"/>
  </r>
  <r>
    <n v="3241"/>
    <s v="Rita Castro"/>
    <x v="1"/>
    <d v="2024-03-07T00:00:00"/>
    <x v="1"/>
    <n v="5"/>
    <x v="0"/>
    <x v="1"/>
    <x v="1"/>
    <x v="1"/>
    <n v="0"/>
    <n v="1"/>
    <n v="4"/>
  </r>
  <r>
    <n v="3242"/>
    <s v="Marco Túlio"/>
    <x v="0"/>
    <d v="2024-03-08T00:00:00"/>
    <x v="0"/>
    <n v="15"/>
    <x v="1"/>
    <x v="0"/>
    <x v="0"/>
    <x v="0"/>
    <n v="20"/>
    <n v="20"/>
    <n v="45"/>
  </r>
  <r>
    <n v="3243"/>
    <s v="Lívia Silveira"/>
    <x v="2"/>
    <d v="2024-03-09T00:00:00"/>
    <x v="1"/>
    <n v="10"/>
    <x v="0"/>
    <x v="1"/>
    <x v="1"/>
    <x v="0"/>
    <n v="20"/>
    <n v="10"/>
    <n v="20"/>
  </r>
  <r>
    <n v="3244"/>
    <s v="Diogo Sousa"/>
    <x v="1"/>
    <d v="2024-03-10T00:00:00"/>
    <x v="0"/>
    <n v="5"/>
    <x v="2"/>
    <x v="1"/>
    <x v="1"/>
    <x v="1"/>
    <n v="0"/>
    <n v="0"/>
    <n v="5"/>
  </r>
  <r>
    <n v="3245"/>
    <s v="Fernanda Lima"/>
    <x v="0"/>
    <d v="2024-03-11T00:00:00"/>
    <x v="1"/>
    <n v="15"/>
    <x v="0"/>
    <x v="0"/>
    <x v="0"/>
    <x v="0"/>
    <n v="20"/>
    <n v="8"/>
    <n v="57"/>
  </r>
  <r>
    <n v="3246"/>
    <s v="Caio Pereira"/>
    <x v="2"/>
    <d v="2024-03-12T00:00:00"/>
    <x v="0"/>
    <n v="10"/>
    <x v="1"/>
    <x v="1"/>
    <x v="1"/>
    <x v="0"/>
    <n v="20"/>
    <n v="12"/>
    <n v="18"/>
  </r>
  <r>
    <n v="3247"/>
    <s v="Beatriz Gomes"/>
    <x v="1"/>
    <d v="2024-03-13T00:00:00"/>
    <x v="1"/>
    <n v="5"/>
    <x v="0"/>
    <x v="1"/>
    <x v="1"/>
    <x v="1"/>
    <n v="0"/>
    <n v="2"/>
    <n v="3"/>
  </r>
  <r>
    <n v="3248"/>
    <s v="Cesar Oliveira"/>
    <x v="0"/>
    <d v="2024-03-14T00:00:00"/>
    <x v="0"/>
    <n v="15"/>
    <x v="2"/>
    <x v="0"/>
    <x v="0"/>
    <x v="0"/>
    <n v="20"/>
    <n v="7"/>
    <n v="58"/>
  </r>
  <r>
    <n v="3249"/>
    <s v="Débora Machado"/>
    <x v="2"/>
    <d v="2024-03-15T00:00:00"/>
    <x v="1"/>
    <n v="10"/>
    <x v="0"/>
    <x v="1"/>
    <x v="1"/>
    <x v="0"/>
    <n v="20"/>
    <n v="5"/>
    <n v="25"/>
  </r>
  <r>
    <n v="3250"/>
    <s v="Eduardo Vargas"/>
    <x v="1"/>
    <d v="2024-03-16T00:00:00"/>
    <x v="0"/>
    <n v="5"/>
    <x v="1"/>
    <x v="1"/>
    <x v="1"/>
    <x v="1"/>
    <n v="0"/>
    <n v="0"/>
    <n v="5"/>
  </r>
  <r>
    <n v="3251"/>
    <s v="Gabriela Santos"/>
    <x v="0"/>
    <d v="2024-03-17T00:00:00"/>
    <x v="1"/>
    <n v="15"/>
    <x v="0"/>
    <x v="0"/>
    <x v="0"/>
    <x v="0"/>
    <n v="20"/>
    <n v="3"/>
    <n v="62"/>
  </r>
  <r>
    <n v="3252"/>
    <s v="Henrique Dias"/>
    <x v="2"/>
    <d v="2024-03-18T00:00:00"/>
    <x v="0"/>
    <n v="10"/>
    <x v="2"/>
    <x v="1"/>
    <x v="1"/>
    <x v="0"/>
    <n v="20"/>
    <n v="15"/>
    <n v="15"/>
  </r>
  <r>
    <n v="3253"/>
    <s v="Isabela Moreira"/>
    <x v="1"/>
    <d v="2024-03-19T00:00:00"/>
    <x v="1"/>
    <n v="5"/>
    <x v="0"/>
    <x v="1"/>
    <x v="1"/>
    <x v="1"/>
    <n v="0"/>
    <n v="1"/>
    <n v="4"/>
  </r>
  <r>
    <n v="3254"/>
    <s v="Joaquim Barbosa"/>
    <x v="0"/>
    <d v="2024-03-20T00:00:00"/>
    <x v="0"/>
    <n v="15"/>
    <x v="1"/>
    <x v="0"/>
    <x v="0"/>
    <x v="0"/>
    <n v="20"/>
    <n v="20"/>
    <n v="45"/>
  </r>
  <r>
    <n v="3255"/>
    <s v="Lara Rocha"/>
    <x v="2"/>
    <d v="2024-03-21T00:00:00"/>
    <x v="1"/>
    <n v="10"/>
    <x v="0"/>
    <x v="1"/>
    <x v="1"/>
    <x v="0"/>
    <n v="20"/>
    <n v="10"/>
    <n v="20"/>
  </r>
  <r>
    <n v="3256"/>
    <s v="Matheus Silva"/>
    <x v="1"/>
    <d v="2024-03-22T00:00:00"/>
    <x v="0"/>
    <n v="5"/>
    <x v="2"/>
    <x v="1"/>
    <x v="1"/>
    <x v="1"/>
    <n v="0"/>
    <n v="0"/>
    <n v="5"/>
  </r>
  <r>
    <n v="3257"/>
    <s v="Nicole Costa"/>
    <x v="0"/>
    <d v="2024-03-23T00:00:00"/>
    <x v="1"/>
    <n v="15"/>
    <x v="0"/>
    <x v="0"/>
    <x v="0"/>
    <x v="0"/>
    <n v="20"/>
    <n v="5"/>
    <n v="60"/>
  </r>
  <r>
    <n v="3258"/>
    <s v="Otávio Mendonça"/>
    <x v="2"/>
    <d v="2024-03-24T00:00:00"/>
    <x v="0"/>
    <n v="10"/>
    <x v="1"/>
    <x v="1"/>
    <x v="1"/>
    <x v="0"/>
    <n v="20"/>
    <n v="15"/>
    <n v="15"/>
  </r>
  <r>
    <n v="3259"/>
    <s v="Paula Ferreira"/>
    <x v="1"/>
    <d v="2024-03-25T00:00:00"/>
    <x v="1"/>
    <n v="5"/>
    <x v="0"/>
    <x v="1"/>
    <x v="1"/>
    <x v="1"/>
    <n v="0"/>
    <n v="1"/>
    <n v="4"/>
  </r>
  <r>
    <n v="3260"/>
    <s v="Raquel Alves"/>
    <x v="0"/>
    <d v="2024-03-26T00:00:00"/>
    <x v="0"/>
    <n v="15"/>
    <x v="2"/>
    <x v="0"/>
    <x v="0"/>
    <x v="0"/>
    <n v="20"/>
    <n v="7"/>
    <n v="58"/>
  </r>
  <r>
    <n v="3261"/>
    <s v="Samuel Pires"/>
    <x v="2"/>
    <d v="2024-03-27T00:00:00"/>
    <x v="1"/>
    <n v="10"/>
    <x v="0"/>
    <x v="1"/>
    <x v="1"/>
    <x v="0"/>
    <n v="20"/>
    <n v="10"/>
    <n v="20"/>
  </r>
  <r>
    <n v="3262"/>
    <s v="Tânia Barros"/>
    <x v="1"/>
    <d v="2024-03-28T00:00:00"/>
    <x v="0"/>
    <n v="5"/>
    <x v="1"/>
    <x v="1"/>
    <x v="1"/>
    <x v="1"/>
    <n v="0"/>
    <n v="0"/>
    <n v="5"/>
  </r>
  <r>
    <n v="3263"/>
    <s v="Vinicius Lima"/>
    <x v="0"/>
    <d v="2024-03-29T00:00:00"/>
    <x v="1"/>
    <n v="15"/>
    <x v="0"/>
    <x v="0"/>
    <x v="0"/>
    <x v="0"/>
    <n v="20"/>
    <n v="3"/>
    <n v="62"/>
  </r>
  <r>
    <n v="3264"/>
    <s v="Yasmin Teixeira"/>
    <x v="2"/>
    <d v="2024-03-30T00:00:00"/>
    <x v="0"/>
    <n v="10"/>
    <x v="2"/>
    <x v="1"/>
    <x v="1"/>
    <x v="0"/>
    <n v="20"/>
    <n v="15"/>
    <n v="15"/>
  </r>
  <r>
    <n v="3265"/>
    <s v="Zé Carlos"/>
    <x v="1"/>
    <d v="2024-03-31T00:00:00"/>
    <x v="1"/>
    <n v="5"/>
    <x v="0"/>
    <x v="1"/>
    <x v="1"/>
    <x v="1"/>
    <n v="0"/>
    <n v="1"/>
    <n v="4"/>
  </r>
  <r>
    <n v="3266"/>
    <s v="Amanda Nogueira"/>
    <x v="1"/>
    <d v="2024-04-01T00:00:00"/>
    <x v="0"/>
    <n v="5"/>
    <x v="0"/>
    <x v="1"/>
    <x v="1"/>
    <x v="1"/>
    <n v="0"/>
    <n v="0"/>
    <n v="5"/>
  </r>
  <r>
    <n v="3267"/>
    <s v="Bruno Cavalheiro"/>
    <x v="0"/>
    <d v="2024-04-02T00:00:00"/>
    <x v="1"/>
    <n v="15"/>
    <x v="2"/>
    <x v="0"/>
    <x v="0"/>
    <x v="0"/>
    <n v="20"/>
    <n v="7"/>
    <n v="58"/>
  </r>
  <r>
    <n v="3268"/>
    <s v="Carla Dias"/>
    <x v="2"/>
    <d v="2024-04-03T00:00:00"/>
    <x v="0"/>
    <n v="10"/>
    <x v="1"/>
    <x v="1"/>
    <x v="1"/>
    <x v="0"/>
    <n v="20"/>
    <n v="10"/>
    <n v="20"/>
  </r>
  <r>
    <n v="3269"/>
    <s v="Diego Fontes"/>
    <x v="1"/>
    <d v="2024-04-04T00:00:00"/>
    <x v="1"/>
    <n v="5"/>
    <x v="2"/>
    <x v="1"/>
    <x v="1"/>
    <x v="1"/>
    <n v="0"/>
    <n v="1"/>
    <n v="4"/>
  </r>
  <r>
    <n v="3270"/>
    <s v="Eunice Lima"/>
    <x v="0"/>
    <d v="2024-04-05T00:00:00"/>
    <x v="0"/>
    <n v="15"/>
    <x v="0"/>
    <x v="0"/>
    <x v="0"/>
    <x v="0"/>
    <n v="20"/>
    <n v="15"/>
    <n v="50"/>
  </r>
  <r>
    <n v="3271"/>
    <s v="Fábio Martins"/>
    <x v="2"/>
    <d v="2024-04-06T00:00:00"/>
    <x v="1"/>
    <n v="10"/>
    <x v="0"/>
    <x v="1"/>
    <x v="1"/>
    <x v="0"/>
    <n v="20"/>
    <n v="5"/>
    <n v="25"/>
  </r>
  <r>
    <n v="3272"/>
    <s v="Gisele Araújo"/>
    <x v="1"/>
    <d v="2024-04-07T00:00:00"/>
    <x v="0"/>
    <n v="5"/>
    <x v="1"/>
    <x v="1"/>
    <x v="1"/>
    <x v="1"/>
    <n v="0"/>
    <n v="0"/>
    <n v="5"/>
  </r>
  <r>
    <n v="3273"/>
    <s v="Hélio Castro"/>
    <x v="0"/>
    <d v="2024-04-08T00:00:00"/>
    <x v="1"/>
    <n v="15"/>
    <x v="2"/>
    <x v="0"/>
    <x v="0"/>
    <x v="0"/>
    <n v="20"/>
    <n v="20"/>
    <n v="45"/>
  </r>
  <r>
    <n v="3274"/>
    <s v="Ingrid Menezes"/>
    <x v="2"/>
    <d v="2024-04-09T00:00:00"/>
    <x v="0"/>
    <n v="10"/>
    <x v="2"/>
    <x v="1"/>
    <x v="1"/>
    <x v="0"/>
    <n v="20"/>
    <n v="12"/>
    <n v="18"/>
  </r>
  <r>
    <n v="3275"/>
    <s v="Jorge Baptista"/>
    <x v="1"/>
    <d v="2024-04-10T00:00:00"/>
    <x v="1"/>
    <n v="5"/>
    <x v="0"/>
    <x v="1"/>
    <x v="1"/>
    <x v="1"/>
    <n v="0"/>
    <n v="2"/>
    <n v="3"/>
  </r>
  <r>
    <n v="3276"/>
    <s v="Kléber Oliveira"/>
    <x v="0"/>
    <d v="2024-04-11T00:00:00"/>
    <x v="0"/>
    <n v="15"/>
    <x v="1"/>
    <x v="0"/>
    <x v="0"/>
    <x v="0"/>
    <n v="20"/>
    <n v="5"/>
    <n v="60"/>
  </r>
  <r>
    <n v="3277"/>
    <s v="Luciana Freitas"/>
    <x v="2"/>
    <d v="2024-04-12T00:00:00"/>
    <x v="1"/>
    <n v="10"/>
    <x v="0"/>
    <x v="1"/>
    <x v="1"/>
    <x v="0"/>
    <n v="20"/>
    <n v="10"/>
    <n v="20"/>
  </r>
  <r>
    <n v="3278"/>
    <s v="Márcia Eller"/>
    <x v="1"/>
    <d v="2024-04-13T00:00:00"/>
    <x v="0"/>
    <n v="5"/>
    <x v="2"/>
    <x v="1"/>
    <x v="1"/>
    <x v="1"/>
    <n v="0"/>
    <n v="0"/>
    <n v="5"/>
  </r>
  <r>
    <n v="3279"/>
    <s v="Nilo Peçanha"/>
    <x v="0"/>
    <d v="2024-04-14T00:00:00"/>
    <x v="1"/>
    <n v="15"/>
    <x v="0"/>
    <x v="0"/>
    <x v="0"/>
    <x v="0"/>
    <n v="20"/>
    <n v="3"/>
    <n v="62"/>
  </r>
  <r>
    <n v="3280"/>
    <s v="Oscar Neves"/>
    <x v="2"/>
    <d v="2024-04-15T00:00:00"/>
    <x v="0"/>
    <n v="10"/>
    <x v="1"/>
    <x v="1"/>
    <x v="1"/>
    <x v="0"/>
    <n v="20"/>
    <n v="15"/>
    <n v="15"/>
  </r>
  <r>
    <n v="3281"/>
    <s v="Patrícia Soares"/>
    <x v="1"/>
    <d v="2024-04-16T00:00:00"/>
    <x v="1"/>
    <n v="5"/>
    <x v="0"/>
    <x v="1"/>
    <x v="1"/>
    <x v="1"/>
    <n v="0"/>
    <n v="1"/>
    <n v="4"/>
  </r>
  <r>
    <n v="3282"/>
    <s v="Quirino Gonçalves"/>
    <x v="0"/>
    <d v="2024-04-17T00:00:00"/>
    <x v="0"/>
    <n v="15"/>
    <x v="2"/>
    <x v="0"/>
    <x v="0"/>
    <x v="0"/>
    <n v="20"/>
    <n v="7"/>
    <n v="58"/>
  </r>
  <r>
    <n v="3283"/>
    <s v="Raul Machado"/>
    <x v="2"/>
    <d v="2024-04-18T00:00:00"/>
    <x v="1"/>
    <n v="10"/>
    <x v="0"/>
    <x v="1"/>
    <x v="1"/>
    <x v="0"/>
    <n v="20"/>
    <n v="10"/>
    <n v="20"/>
  </r>
  <r>
    <n v="3284"/>
    <s v="Sônia Lobo"/>
    <x v="1"/>
    <d v="2024-04-19T00:00:00"/>
    <x v="0"/>
    <n v="5"/>
    <x v="1"/>
    <x v="1"/>
    <x v="1"/>
    <x v="1"/>
    <n v="0"/>
    <n v="0"/>
    <n v="5"/>
  </r>
  <r>
    <n v="3285"/>
    <s v="Tiago Ramos"/>
    <x v="0"/>
    <d v="2024-04-20T00:00:00"/>
    <x v="1"/>
    <n v="15"/>
    <x v="0"/>
    <x v="0"/>
    <x v="0"/>
    <x v="0"/>
    <n v="20"/>
    <n v="20"/>
    <n v="45"/>
  </r>
  <r>
    <n v="3286"/>
    <s v="Ugo Pires"/>
    <x v="2"/>
    <d v="2024-04-21T00:00:00"/>
    <x v="0"/>
    <n v="10"/>
    <x v="2"/>
    <x v="1"/>
    <x v="1"/>
    <x v="0"/>
    <n v="20"/>
    <n v="15"/>
    <n v="15"/>
  </r>
  <r>
    <n v="3287"/>
    <s v="Valéria Nobre"/>
    <x v="1"/>
    <d v="2024-04-22T00:00:00"/>
    <x v="1"/>
    <n v="5"/>
    <x v="0"/>
    <x v="1"/>
    <x v="1"/>
    <x v="1"/>
    <n v="0"/>
    <n v="1"/>
    <n v="4"/>
  </r>
  <r>
    <n v="3288"/>
    <s v="William Siqueira"/>
    <x v="0"/>
    <d v="2024-04-23T00:00:00"/>
    <x v="0"/>
    <n v="15"/>
    <x v="1"/>
    <x v="0"/>
    <x v="0"/>
    <x v="0"/>
    <n v="20"/>
    <n v="3"/>
    <n v="62"/>
  </r>
  <r>
    <n v="3289"/>
    <s v="Xuxa Meneghel"/>
    <x v="2"/>
    <d v="2024-04-24T00:00:00"/>
    <x v="1"/>
    <n v="10"/>
    <x v="0"/>
    <x v="1"/>
    <x v="1"/>
    <x v="0"/>
    <n v="20"/>
    <n v="10"/>
    <n v="20"/>
  </r>
  <r>
    <n v="3290"/>
    <s v="Yara Figueiredo"/>
    <x v="1"/>
    <d v="2024-04-25T00:00:00"/>
    <x v="0"/>
    <n v="5"/>
    <x v="2"/>
    <x v="1"/>
    <x v="1"/>
    <x v="1"/>
    <n v="0"/>
    <n v="0"/>
    <n v="5"/>
  </r>
  <r>
    <n v="3291"/>
    <s v="Zacarias Alves"/>
    <x v="0"/>
    <d v="2024-04-26T00:00:00"/>
    <x v="1"/>
    <n v="15"/>
    <x v="0"/>
    <x v="0"/>
    <x v="0"/>
    <x v="0"/>
    <n v="20"/>
    <n v="5"/>
    <n v="60"/>
  </r>
  <r>
    <n v="3292"/>
    <s v="Amanda Bynes"/>
    <x v="2"/>
    <d v="2024-04-27T00:00:00"/>
    <x v="0"/>
    <n v="10"/>
    <x v="1"/>
    <x v="1"/>
    <x v="1"/>
    <x v="0"/>
    <n v="20"/>
    <n v="15"/>
    <n v="15"/>
  </r>
  <r>
    <n v="3293"/>
    <s v="Bruno Mars"/>
    <x v="1"/>
    <d v="2024-04-28T00:00:00"/>
    <x v="1"/>
    <n v="5"/>
    <x v="0"/>
    <x v="1"/>
    <x v="1"/>
    <x v="1"/>
    <n v="0"/>
    <n v="1"/>
    <n v="4"/>
  </r>
  <r>
    <n v="3294"/>
    <s v="Carla Bruni"/>
    <x v="0"/>
    <d v="2024-04-29T00:00:00"/>
    <x v="0"/>
    <n v="15"/>
    <x v="2"/>
    <x v="0"/>
    <x v="0"/>
    <x v="0"/>
    <n v="20"/>
    <n v="20"/>
    <n v="45"/>
  </r>
  <r>
    <n v="3295"/>
    <s v="Diego Maradona"/>
    <x v="2"/>
    <d v="2024-04-30T00:00:00"/>
    <x v="1"/>
    <n v="10"/>
    <x v="0"/>
    <x v="1"/>
    <x v="1"/>
    <x v="0"/>
    <n v="20"/>
    <n v="5"/>
    <n v="25"/>
  </r>
  <r>
    <n v="3296"/>
    <s v="Estela Marques"/>
    <x v="1"/>
    <d v="2024-05-01T00:00:00"/>
    <x v="1"/>
    <n v="5"/>
    <x v="0"/>
    <x v="1"/>
    <x v="1"/>
    <x v="1"/>
    <n v="0"/>
    <n v="0"/>
    <n v="5"/>
  </r>
  <r>
    <n v="3297"/>
    <s v="Fábio Nobre"/>
    <x v="0"/>
    <d v="2024-05-02T00:00:00"/>
    <x v="0"/>
    <n v="15"/>
    <x v="2"/>
    <x v="0"/>
    <x v="0"/>
    <x v="0"/>
    <n v="20"/>
    <n v="7"/>
    <n v="58"/>
  </r>
  <r>
    <n v="3298"/>
    <s v="Gabriel Oliveira"/>
    <x v="2"/>
    <d v="2024-05-03T00:00:00"/>
    <x v="1"/>
    <n v="10"/>
    <x v="1"/>
    <x v="1"/>
    <x v="1"/>
    <x v="0"/>
    <n v="20"/>
    <n v="10"/>
    <n v="20"/>
  </r>
  <r>
    <n v="3299"/>
    <s v="Helena Santos"/>
    <x v="1"/>
    <d v="2024-05-04T00:00:00"/>
    <x v="0"/>
    <n v="5"/>
    <x v="2"/>
    <x v="1"/>
    <x v="1"/>
    <x v="1"/>
    <n v="0"/>
    <n v="1"/>
    <n v="4"/>
  </r>
  <r>
    <n v="3300"/>
    <s v="Ivan Carvalho"/>
    <x v="0"/>
    <d v="2024-05-05T00:00:00"/>
    <x v="1"/>
    <n v="15"/>
    <x v="0"/>
    <x v="0"/>
    <x v="0"/>
    <x v="0"/>
    <n v="20"/>
    <n v="15"/>
    <n v="50"/>
  </r>
  <r>
    <n v="3301"/>
    <s v="Júlia Ferreira"/>
    <x v="2"/>
    <d v="2024-05-06T00:00:00"/>
    <x v="0"/>
    <n v="10"/>
    <x v="0"/>
    <x v="1"/>
    <x v="1"/>
    <x v="0"/>
    <n v="20"/>
    <n v="5"/>
    <n v="25"/>
  </r>
  <r>
    <n v="3302"/>
    <s v="Karla Alves"/>
    <x v="1"/>
    <d v="2024-05-07T00:00:00"/>
    <x v="1"/>
    <n v="5"/>
    <x v="1"/>
    <x v="1"/>
    <x v="1"/>
    <x v="1"/>
    <n v="0"/>
    <n v="0"/>
    <n v="5"/>
  </r>
  <r>
    <n v="3303"/>
    <s v="Lucas Mendes"/>
    <x v="0"/>
    <d v="2024-05-08T00:00:00"/>
    <x v="0"/>
    <n v="15"/>
    <x v="2"/>
    <x v="0"/>
    <x v="0"/>
    <x v="0"/>
    <n v="20"/>
    <n v="20"/>
    <n v="45"/>
  </r>
  <r>
    <n v="3304"/>
    <s v="Mônica Gomes"/>
    <x v="2"/>
    <d v="2024-05-09T00:00:00"/>
    <x v="1"/>
    <n v="10"/>
    <x v="2"/>
    <x v="1"/>
    <x v="1"/>
    <x v="0"/>
    <n v="20"/>
    <n v="12"/>
    <n v="18"/>
  </r>
  <r>
    <n v="3305"/>
    <s v="Norberto Queiroz"/>
    <x v="1"/>
    <d v="2024-05-10T00:00:00"/>
    <x v="0"/>
    <n v="5"/>
    <x v="0"/>
    <x v="1"/>
    <x v="1"/>
    <x v="1"/>
    <n v="0"/>
    <n v="2"/>
    <n v="3"/>
  </r>
  <r>
    <n v="3306"/>
    <s v="Otávio Barros"/>
    <x v="0"/>
    <d v="2024-05-11T00:00:00"/>
    <x v="1"/>
    <n v="15"/>
    <x v="1"/>
    <x v="0"/>
    <x v="0"/>
    <x v="0"/>
    <n v="20"/>
    <n v="5"/>
    <n v="60"/>
  </r>
  <r>
    <n v="3307"/>
    <s v="Paula Vieira"/>
    <x v="2"/>
    <d v="2024-05-12T00:00:00"/>
    <x v="0"/>
    <n v="10"/>
    <x v="0"/>
    <x v="1"/>
    <x v="1"/>
    <x v="0"/>
    <n v="20"/>
    <n v="10"/>
    <n v="20"/>
  </r>
  <r>
    <n v="3308"/>
    <s v="Quentin Ramos"/>
    <x v="1"/>
    <d v="2024-05-13T00:00:00"/>
    <x v="1"/>
    <n v="5"/>
    <x v="2"/>
    <x v="1"/>
    <x v="1"/>
    <x v="1"/>
    <n v="0"/>
    <n v="0"/>
    <n v="5"/>
  </r>
  <r>
    <n v="3309"/>
    <s v="Raquel Novaes"/>
    <x v="0"/>
    <d v="2024-05-14T00:00:00"/>
    <x v="0"/>
    <n v="15"/>
    <x v="0"/>
    <x v="0"/>
    <x v="0"/>
    <x v="0"/>
    <n v="20"/>
    <n v="3"/>
    <n v="62"/>
  </r>
  <r>
    <n v="3310"/>
    <s v="Samantha Lopes"/>
    <x v="2"/>
    <d v="2024-05-15T00:00:00"/>
    <x v="1"/>
    <n v="10"/>
    <x v="1"/>
    <x v="1"/>
    <x v="1"/>
    <x v="0"/>
    <n v="20"/>
    <n v="15"/>
    <n v="15"/>
  </r>
  <r>
    <n v="3311"/>
    <s v="Tiago Martins"/>
    <x v="1"/>
    <d v="2024-05-16T00:00:00"/>
    <x v="0"/>
    <n v="5"/>
    <x v="0"/>
    <x v="1"/>
    <x v="1"/>
    <x v="1"/>
    <n v="0"/>
    <n v="1"/>
    <n v="4"/>
  </r>
  <r>
    <n v="3312"/>
    <s v="Ulysses Guimarães"/>
    <x v="0"/>
    <d v="2024-05-17T00:00:00"/>
    <x v="1"/>
    <n v="15"/>
    <x v="2"/>
    <x v="0"/>
    <x v="0"/>
    <x v="0"/>
    <n v="20"/>
    <n v="7"/>
    <n v="58"/>
  </r>
  <r>
    <n v="3313"/>
    <s v="Vanessa Silva"/>
    <x v="2"/>
    <d v="2024-05-18T00:00:00"/>
    <x v="0"/>
    <n v="10"/>
    <x v="0"/>
    <x v="1"/>
    <x v="1"/>
    <x v="0"/>
    <n v="20"/>
    <n v="10"/>
    <n v="20"/>
  </r>
  <r>
    <n v="3314"/>
    <s v="William Carneiro"/>
    <x v="1"/>
    <d v="2024-05-19T00:00:00"/>
    <x v="1"/>
    <n v="5"/>
    <x v="1"/>
    <x v="1"/>
    <x v="1"/>
    <x v="1"/>
    <n v="0"/>
    <n v="0"/>
    <n v="5"/>
  </r>
  <r>
    <n v="3315"/>
    <s v="Ximena Rocha"/>
    <x v="0"/>
    <d v="2024-05-20T00:00:00"/>
    <x v="0"/>
    <n v="15"/>
    <x v="0"/>
    <x v="0"/>
    <x v="0"/>
    <x v="0"/>
    <n v="20"/>
    <n v="20"/>
    <n v="45"/>
  </r>
  <r>
    <n v="3316"/>
    <s v="Yasmin Figueiredo"/>
    <x v="2"/>
    <d v="2024-05-21T00:00:00"/>
    <x v="1"/>
    <n v="10"/>
    <x v="2"/>
    <x v="1"/>
    <x v="1"/>
    <x v="0"/>
    <n v="20"/>
    <n v="15"/>
    <n v="15"/>
  </r>
  <r>
    <n v="3317"/>
    <s v="Zara Cunha"/>
    <x v="1"/>
    <d v="2024-05-22T00:00:00"/>
    <x v="0"/>
    <n v="5"/>
    <x v="0"/>
    <x v="1"/>
    <x v="1"/>
    <x v="1"/>
    <n v="0"/>
    <n v="1"/>
    <n v="4"/>
  </r>
  <r>
    <n v="3318"/>
    <s v="Alan Teixeira"/>
    <x v="0"/>
    <d v="2024-05-23T00:00:00"/>
    <x v="1"/>
    <n v="15"/>
    <x v="1"/>
    <x v="0"/>
    <x v="0"/>
    <x v="0"/>
    <n v="20"/>
    <n v="3"/>
    <n v="62"/>
  </r>
  <r>
    <n v="3319"/>
    <s v="Bárbara Oliveira"/>
    <x v="2"/>
    <d v="2024-05-24T00:00:00"/>
    <x v="0"/>
    <n v="10"/>
    <x v="0"/>
    <x v="1"/>
    <x v="1"/>
    <x v="0"/>
    <n v="20"/>
    <n v="10"/>
    <n v="20"/>
  </r>
  <r>
    <n v="3320"/>
    <s v="Carlos Junqueira"/>
    <x v="1"/>
    <d v="2024-05-25T00:00:00"/>
    <x v="1"/>
    <n v="5"/>
    <x v="2"/>
    <x v="1"/>
    <x v="1"/>
    <x v="1"/>
    <n v="0"/>
    <n v="0"/>
    <n v="5"/>
  </r>
  <r>
    <n v="3321"/>
    <s v="Daniela Moura"/>
    <x v="0"/>
    <d v="2024-05-26T00:00:00"/>
    <x v="0"/>
    <n v="15"/>
    <x v="0"/>
    <x v="0"/>
    <x v="0"/>
    <x v="0"/>
    <n v="20"/>
    <n v="5"/>
    <n v="60"/>
  </r>
  <r>
    <n v="3322"/>
    <s v="Eduardo Lima"/>
    <x v="2"/>
    <d v="2024-05-27T00:00:00"/>
    <x v="1"/>
    <n v="10"/>
    <x v="1"/>
    <x v="1"/>
    <x v="1"/>
    <x v="0"/>
    <n v="20"/>
    <n v="15"/>
    <n v="15"/>
  </r>
  <r>
    <n v="3323"/>
    <s v="Fabiana Araújo"/>
    <x v="1"/>
    <d v="2024-05-28T00:00:00"/>
    <x v="0"/>
    <n v="5"/>
    <x v="0"/>
    <x v="1"/>
    <x v="1"/>
    <x v="1"/>
    <n v="0"/>
    <n v="1"/>
    <n v="4"/>
  </r>
  <r>
    <n v="3324"/>
    <s v="Geraldo Ribeiro"/>
    <x v="0"/>
    <d v="2024-05-29T00:00:00"/>
    <x v="1"/>
    <n v="15"/>
    <x v="2"/>
    <x v="0"/>
    <x v="0"/>
    <x v="0"/>
    <n v="20"/>
    <n v="20"/>
    <n v="45"/>
  </r>
  <r>
    <n v="3325"/>
    <s v="Héctor Vargas"/>
    <x v="2"/>
    <d v="2024-05-30T00:00:00"/>
    <x v="0"/>
    <n v="10"/>
    <x v="2"/>
    <x v="1"/>
    <x v="1"/>
    <x v="0"/>
    <n v="20"/>
    <n v="15"/>
    <n v="15"/>
  </r>
  <r>
    <n v="3326"/>
    <s v="Isabela Fonseca"/>
    <x v="1"/>
    <d v="2024-05-31T00:00:00"/>
    <x v="1"/>
    <n v="5"/>
    <x v="1"/>
    <x v="1"/>
    <x v="1"/>
    <x v="1"/>
    <n v="0"/>
    <n v="0"/>
    <n v="5"/>
  </r>
  <r>
    <n v="3327"/>
    <s v="João Pedro Almeida"/>
    <x v="0"/>
    <d v="2024-06-01T00:00:00"/>
    <x v="0"/>
    <n v="15"/>
    <x v="0"/>
    <x v="0"/>
    <x v="0"/>
    <x v="0"/>
    <n v="20"/>
    <n v="7"/>
    <n v="58"/>
  </r>
  <r>
    <n v="3328"/>
    <s v="Klara Costa"/>
    <x v="2"/>
    <d v="2024-06-02T00:00:00"/>
    <x v="1"/>
    <n v="10"/>
    <x v="1"/>
    <x v="1"/>
    <x v="1"/>
    <x v="0"/>
    <n v="20"/>
    <n v="10"/>
    <n v="20"/>
  </r>
  <r>
    <n v="3329"/>
    <s v="Luciana Mendes"/>
    <x v="1"/>
    <d v="2024-06-03T00:00:00"/>
    <x v="0"/>
    <n v="5"/>
    <x v="2"/>
    <x v="1"/>
    <x v="1"/>
    <x v="1"/>
    <n v="0"/>
    <n v="1"/>
    <n v="4"/>
  </r>
  <r>
    <n v="3330"/>
    <s v="Marcelo Gouveia"/>
    <x v="0"/>
    <d v="2024-06-04T00:00:00"/>
    <x v="1"/>
    <n v="15"/>
    <x v="0"/>
    <x v="0"/>
    <x v="0"/>
    <x v="0"/>
    <n v="20"/>
    <n v="15"/>
    <n v="50"/>
  </r>
  <r>
    <n v="3331"/>
    <s v="Nívea Borges"/>
    <x v="2"/>
    <d v="2024-06-05T00:00:00"/>
    <x v="0"/>
    <n v="10"/>
    <x v="0"/>
    <x v="1"/>
    <x v="1"/>
    <x v="0"/>
    <n v="20"/>
    <n v="5"/>
    <n v="25"/>
  </r>
  <r>
    <n v="3332"/>
    <s v="Oscar Nogueira"/>
    <x v="1"/>
    <d v="2024-06-06T00:00:00"/>
    <x v="1"/>
    <n v="5"/>
    <x v="1"/>
    <x v="1"/>
    <x v="1"/>
    <x v="1"/>
    <n v="0"/>
    <n v="0"/>
    <n v="5"/>
  </r>
  <r>
    <n v="3333"/>
    <s v="Patrícia Alves"/>
    <x v="0"/>
    <d v="2024-06-07T00:00:00"/>
    <x v="0"/>
    <n v="15"/>
    <x v="2"/>
    <x v="0"/>
    <x v="0"/>
    <x v="0"/>
    <n v="20"/>
    <n v="20"/>
    <n v="45"/>
  </r>
  <r>
    <n v="3334"/>
    <s v="Rafaela Silva"/>
    <x v="2"/>
    <d v="2024-06-08T00:00:00"/>
    <x v="1"/>
    <n v="10"/>
    <x v="2"/>
    <x v="1"/>
    <x v="1"/>
    <x v="0"/>
    <n v="20"/>
    <n v="12"/>
    <n v="18"/>
  </r>
  <r>
    <n v="3335"/>
    <s v="Samantha Moraes"/>
    <x v="1"/>
    <d v="2024-06-09T00:00:00"/>
    <x v="0"/>
    <n v="5"/>
    <x v="0"/>
    <x v="1"/>
    <x v="1"/>
    <x v="1"/>
    <n v="0"/>
    <n v="2"/>
    <n v="3"/>
  </r>
  <r>
    <n v="3336"/>
    <s v="Tatiana Rocha"/>
    <x v="1"/>
    <d v="2024-06-10T00:00:00"/>
    <x v="0"/>
    <n v="5"/>
    <x v="0"/>
    <x v="1"/>
    <x v="1"/>
    <x v="1"/>
    <n v="0"/>
    <n v="0"/>
    <n v="5"/>
  </r>
  <r>
    <n v="3337"/>
    <s v="Ulisses Tavares"/>
    <x v="0"/>
    <d v="2024-06-11T00:00:00"/>
    <x v="1"/>
    <n v="15"/>
    <x v="2"/>
    <x v="0"/>
    <x v="0"/>
    <x v="0"/>
    <n v="20"/>
    <n v="7"/>
    <n v="58"/>
  </r>
  <r>
    <n v="3338"/>
    <s v="Víctor Lemos"/>
    <x v="2"/>
    <d v="2024-06-12T00:00:00"/>
    <x v="0"/>
    <n v="10"/>
    <x v="1"/>
    <x v="1"/>
    <x v="1"/>
    <x v="0"/>
    <n v="20"/>
    <n v="10"/>
    <n v="20"/>
  </r>
  <r>
    <n v="3339"/>
    <s v="Wilma Barros"/>
    <x v="1"/>
    <d v="2024-06-13T00:00:00"/>
    <x v="1"/>
    <n v="5"/>
    <x v="2"/>
    <x v="1"/>
    <x v="1"/>
    <x v="1"/>
    <n v="0"/>
    <n v="1"/>
    <n v="4"/>
  </r>
  <r>
    <n v="3340"/>
    <s v="Xavier Nascimento"/>
    <x v="0"/>
    <d v="2024-06-14T00:00:00"/>
    <x v="0"/>
    <n v="15"/>
    <x v="0"/>
    <x v="0"/>
    <x v="0"/>
    <x v="0"/>
    <n v="20"/>
    <n v="15"/>
    <n v="50"/>
  </r>
  <r>
    <n v="3341"/>
    <s v="Yago Pereira"/>
    <x v="2"/>
    <d v="2024-06-15T00:00:00"/>
    <x v="1"/>
    <n v="10"/>
    <x v="0"/>
    <x v="1"/>
    <x v="1"/>
    <x v="0"/>
    <n v="20"/>
    <n v="5"/>
    <n v="25"/>
  </r>
  <r>
    <n v="3342"/>
    <s v="Zilda Ferreira"/>
    <x v="1"/>
    <d v="2024-06-16T00:00:00"/>
    <x v="0"/>
    <n v="5"/>
    <x v="1"/>
    <x v="1"/>
    <x v="1"/>
    <x v="1"/>
    <n v="0"/>
    <n v="0"/>
    <n v="5"/>
  </r>
  <r>
    <n v="3343"/>
    <s v="Amanda Lopes"/>
    <x v="0"/>
    <d v="2024-06-17T00:00:00"/>
    <x v="1"/>
    <n v="15"/>
    <x v="2"/>
    <x v="0"/>
    <x v="0"/>
    <x v="0"/>
    <n v="20"/>
    <n v="20"/>
    <n v="45"/>
  </r>
  <r>
    <n v="3344"/>
    <s v="Bruno Miranda"/>
    <x v="2"/>
    <d v="2024-06-18T00:00:00"/>
    <x v="0"/>
    <n v="10"/>
    <x v="2"/>
    <x v="1"/>
    <x v="1"/>
    <x v="0"/>
    <n v="20"/>
    <n v="12"/>
    <n v="18"/>
  </r>
  <r>
    <n v="3345"/>
    <s v="Célia Torres"/>
    <x v="1"/>
    <d v="2024-06-19T00:00:00"/>
    <x v="1"/>
    <n v="5"/>
    <x v="0"/>
    <x v="1"/>
    <x v="1"/>
    <x v="1"/>
    <n v="0"/>
    <n v="2"/>
    <n v="3"/>
  </r>
  <r>
    <n v="3346"/>
    <s v="Diogo Souza"/>
    <x v="0"/>
    <d v="2024-06-20T00:00:00"/>
    <x v="0"/>
    <n v="15"/>
    <x v="1"/>
    <x v="0"/>
    <x v="0"/>
    <x v="0"/>
    <n v="20"/>
    <n v="5"/>
    <n v="60"/>
  </r>
  <r>
    <n v="3347"/>
    <s v="Elisa Castro"/>
    <x v="2"/>
    <d v="2024-06-21T00:00:00"/>
    <x v="1"/>
    <n v="10"/>
    <x v="0"/>
    <x v="1"/>
    <x v="1"/>
    <x v="0"/>
    <n v="20"/>
    <n v="10"/>
    <n v="20"/>
  </r>
  <r>
    <n v="3348"/>
    <s v="Fátima Lima"/>
    <x v="1"/>
    <d v="2024-06-22T00:00:00"/>
    <x v="0"/>
    <n v="5"/>
    <x v="2"/>
    <x v="1"/>
    <x v="1"/>
    <x v="1"/>
    <n v="0"/>
    <n v="0"/>
    <n v="5"/>
  </r>
  <r>
    <n v="3349"/>
    <s v="Geraldo Ribeiro"/>
    <x v="0"/>
    <d v="2024-06-23T00:00:00"/>
    <x v="1"/>
    <n v="15"/>
    <x v="0"/>
    <x v="0"/>
    <x v="0"/>
    <x v="0"/>
    <n v="20"/>
    <n v="3"/>
    <n v="62"/>
  </r>
  <r>
    <n v="3350"/>
    <s v="Hélio Martins"/>
    <x v="2"/>
    <d v="2024-06-24T00:00:00"/>
    <x v="0"/>
    <n v="10"/>
    <x v="1"/>
    <x v="1"/>
    <x v="1"/>
    <x v="0"/>
    <n v="20"/>
    <n v="15"/>
    <n v="15"/>
  </r>
  <r>
    <n v="3351"/>
    <s v="Íris Santos"/>
    <x v="1"/>
    <d v="2024-06-25T00:00:00"/>
    <x v="1"/>
    <n v="5"/>
    <x v="0"/>
    <x v="1"/>
    <x v="1"/>
    <x v="1"/>
    <n v="0"/>
    <n v="1"/>
    <n v="4"/>
  </r>
  <r>
    <n v="3352"/>
    <s v="João Marcelo"/>
    <x v="0"/>
    <d v="2024-06-26T00:00:00"/>
    <x v="0"/>
    <n v="15"/>
    <x v="2"/>
    <x v="0"/>
    <x v="0"/>
    <x v="0"/>
    <n v="20"/>
    <n v="7"/>
    <n v="58"/>
  </r>
  <r>
    <n v="3353"/>
    <s v="Larissa Gomes"/>
    <x v="2"/>
    <d v="2024-06-27T00:00:00"/>
    <x v="1"/>
    <n v="10"/>
    <x v="0"/>
    <x v="1"/>
    <x v="1"/>
    <x v="0"/>
    <n v="20"/>
    <n v="10"/>
    <n v="20"/>
  </r>
  <r>
    <n v="3354"/>
    <s v="Márcio Silva"/>
    <x v="1"/>
    <d v="2024-06-28T00:00:00"/>
    <x v="0"/>
    <n v="5"/>
    <x v="1"/>
    <x v="1"/>
    <x v="1"/>
    <x v="1"/>
    <n v="0"/>
    <n v="0"/>
    <n v="5"/>
  </r>
  <r>
    <n v="3355"/>
    <s v="Nadia Costa"/>
    <x v="0"/>
    <d v="2024-06-29T00:00:00"/>
    <x v="1"/>
    <n v="15"/>
    <x v="0"/>
    <x v="0"/>
    <x v="0"/>
    <x v="0"/>
    <n v="20"/>
    <n v="20"/>
    <n v="45"/>
  </r>
  <r>
    <n v="3356"/>
    <s v="Oscar Almeida"/>
    <x v="2"/>
    <d v="2024-06-30T00:00:00"/>
    <x v="0"/>
    <n v="10"/>
    <x v="2"/>
    <x v="1"/>
    <x v="1"/>
    <x v="0"/>
    <n v="20"/>
    <n v="15"/>
    <n v="15"/>
  </r>
  <r>
    <n v="3357"/>
    <s v="Patricia Soares"/>
    <x v="1"/>
    <d v="2024-07-01T00:00:00"/>
    <x v="1"/>
    <n v="5"/>
    <x v="0"/>
    <x v="1"/>
    <x v="1"/>
    <x v="1"/>
    <n v="0"/>
    <n v="1"/>
    <n v="4"/>
  </r>
  <r>
    <n v="3358"/>
    <s v="Quênia Barros"/>
    <x v="0"/>
    <d v="2024-07-02T00:00:00"/>
    <x v="0"/>
    <n v="15"/>
    <x v="1"/>
    <x v="0"/>
    <x v="0"/>
    <x v="0"/>
    <n v="20"/>
    <n v="3"/>
    <n v="62"/>
  </r>
  <r>
    <n v="3359"/>
    <s v="Rafael Torres"/>
    <x v="2"/>
    <d v="2024-07-03T00:00:00"/>
    <x v="1"/>
    <n v="10"/>
    <x v="0"/>
    <x v="1"/>
    <x v="1"/>
    <x v="0"/>
    <n v="20"/>
    <n v="10"/>
    <n v="20"/>
  </r>
  <r>
    <n v="3360"/>
    <s v="Silvia Nascimento"/>
    <x v="1"/>
    <d v="2024-07-04T00:00:00"/>
    <x v="0"/>
    <n v="5"/>
    <x v="2"/>
    <x v="1"/>
    <x v="1"/>
    <x v="1"/>
    <n v="0"/>
    <n v="0"/>
    <n v="5"/>
  </r>
  <r>
    <n v="3361"/>
    <s v="Tiago Mendes"/>
    <x v="0"/>
    <d v="2024-07-05T00:00:00"/>
    <x v="1"/>
    <n v="15"/>
    <x v="0"/>
    <x v="0"/>
    <x v="0"/>
    <x v="0"/>
    <n v="20"/>
    <n v="15"/>
    <n v="50"/>
  </r>
  <r>
    <n v="3362"/>
    <s v="Ursula Silva"/>
    <x v="2"/>
    <d v="2024-07-06T00:00:00"/>
    <x v="0"/>
    <n v="10"/>
    <x v="1"/>
    <x v="1"/>
    <x v="1"/>
    <x v="0"/>
    <n v="20"/>
    <n v="15"/>
    <n v="15"/>
  </r>
  <r>
    <n v="3363"/>
    <s v="Vanessa Moraes"/>
    <x v="1"/>
    <d v="2024-07-07T00:00:00"/>
    <x v="1"/>
    <n v="5"/>
    <x v="0"/>
    <x v="1"/>
    <x v="1"/>
    <x v="1"/>
    <n v="0"/>
    <n v="1"/>
    <n v="4"/>
  </r>
  <r>
    <n v="3364"/>
    <s v="Waldir Junior"/>
    <x v="0"/>
    <d v="2024-07-08T00:00:00"/>
    <x v="0"/>
    <n v="15"/>
    <x v="2"/>
    <x v="0"/>
    <x v="0"/>
    <x v="0"/>
    <n v="20"/>
    <n v="7"/>
    <n v="58"/>
  </r>
  <r>
    <n v="3365"/>
    <s v="Xavier Lopes"/>
    <x v="2"/>
    <d v="2024-07-09T00:00:00"/>
    <x v="1"/>
    <n v="10"/>
    <x v="0"/>
    <x v="1"/>
    <x v="1"/>
    <x v="0"/>
    <n v="20"/>
    <n v="10"/>
    <n v="20"/>
  </r>
  <r>
    <n v="3366"/>
    <s v="Yolanda Freitas"/>
    <x v="1"/>
    <d v="2024-07-10T00:00:00"/>
    <x v="0"/>
    <n v="5"/>
    <x v="0"/>
    <x v="1"/>
    <x v="1"/>
    <x v="1"/>
    <n v="0"/>
    <n v="0"/>
    <n v="5"/>
  </r>
  <r>
    <n v="3367"/>
    <s v="Zacarias Nunes"/>
    <x v="0"/>
    <d v="2024-07-11T00:00:00"/>
    <x v="1"/>
    <n v="15"/>
    <x v="2"/>
    <x v="0"/>
    <x v="0"/>
    <x v="0"/>
    <n v="20"/>
    <n v="7"/>
    <n v="58"/>
  </r>
  <r>
    <n v="3368"/>
    <s v="Ana Clara Barreto"/>
    <x v="2"/>
    <d v="2024-07-12T00:00:00"/>
    <x v="0"/>
    <n v="10"/>
    <x v="1"/>
    <x v="1"/>
    <x v="1"/>
    <x v="0"/>
    <n v="20"/>
    <n v="10"/>
    <n v="20"/>
  </r>
  <r>
    <n v="3369"/>
    <s v="Bruno Henrique"/>
    <x v="1"/>
    <d v="2024-07-13T00:00:00"/>
    <x v="1"/>
    <n v="5"/>
    <x v="2"/>
    <x v="1"/>
    <x v="1"/>
    <x v="1"/>
    <n v="0"/>
    <n v="1"/>
    <n v="4"/>
  </r>
  <r>
    <n v="3370"/>
    <s v="Carlos Eduardo"/>
    <x v="0"/>
    <d v="2024-07-14T00:00:00"/>
    <x v="0"/>
    <n v="15"/>
    <x v="0"/>
    <x v="0"/>
    <x v="0"/>
    <x v="0"/>
    <n v="20"/>
    <n v="15"/>
    <n v="50"/>
  </r>
  <r>
    <n v="3371"/>
    <s v="Débora Lima"/>
    <x v="2"/>
    <d v="2024-07-15T00:00:00"/>
    <x v="1"/>
    <n v="10"/>
    <x v="0"/>
    <x v="1"/>
    <x v="1"/>
    <x v="0"/>
    <n v="20"/>
    <n v="5"/>
    <n v="25"/>
  </r>
  <r>
    <n v="3372"/>
    <s v="Elisa Neves"/>
    <x v="1"/>
    <d v="2024-07-16T00:00:00"/>
    <x v="0"/>
    <n v="5"/>
    <x v="1"/>
    <x v="1"/>
    <x v="1"/>
    <x v="1"/>
    <n v="0"/>
    <n v="0"/>
    <n v="5"/>
  </r>
  <r>
    <n v="3373"/>
    <s v="Fabiano Gomes"/>
    <x v="0"/>
    <d v="2024-07-17T00:00:00"/>
    <x v="1"/>
    <n v="15"/>
    <x v="2"/>
    <x v="0"/>
    <x v="0"/>
    <x v="0"/>
    <n v="20"/>
    <n v="20"/>
    <n v="45"/>
  </r>
  <r>
    <n v="3374"/>
    <s v="Gisele Oliveira"/>
    <x v="2"/>
    <d v="2024-07-18T00:00:00"/>
    <x v="0"/>
    <n v="10"/>
    <x v="2"/>
    <x v="1"/>
    <x v="1"/>
    <x v="0"/>
    <n v="20"/>
    <n v="12"/>
    <n v="18"/>
  </r>
  <r>
    <n v="3375"/>
    <s v="Héctor Silva"/>
    <x v="1"/>
    <d v="2024-07-19T00:00:00"/>
    <x v="1"/>
    <n v="5"/>
    <x v="0"/>
    <x v="1"/>
    <x v="1"/>
    <x v="1"/>
    <n v="0"/>
    <n v="2"/>
    <n v="3"/>
  </r>
  <r>
    <n v="3376"/>
    <s v="Igor Martins"/>
    <x v="0"/>
    <d v="2024-07-20T00:00:00"/>
    <x v="0"/>
    <n v="15"/>
    <x v="1"/>
    <x v="0"/>
    <x v="0"/>
    <x v="0"/>
    <n v="20"/>
    <n v="5"/>
    <n v="60"/>
  </r>
  <r>
    <n v="3377"/>
    <s v="Joana Figueiredo"/>
    <x v="2"/>
    <d v="2024-07-21T00:00:00"/>
    <x v="1"/>
    <n v="10"/>
    <x v="0"/>
    <x v="1"/>
    <x v="1"/>
    <x v="0"/>
    <n v="20"/>
    <n v="10"/>
    <n v="20"/>
  </r>
  <r>
    <n v="3378"/>
    <s v="Kleber Machado"/>
    <x v="1"/>
    <d v="2024-07-22T00:00:00"/>
    <x v="0"/>
    <n v="5"/>
    <x v="2"/>
    <x v="1"/>
    <x v="1"/>
    <x v="1"/>
    <n v="0"/>
    <n v="0"/>
    <n v="5"/>
  </r>
  <r>
    <n v="3379"/>
    <s v="Luciana Santos"/>
    <x v="0"/>
    <d v="2024-07-23T00:00:00"/>
    <x v="1"/>
    <n v="15"/>
    <x v="0"/>
    <x v="0"/>
    <x v="0"/>
    <x v="0"/>
    <n v="20"/>
    <n v="3"/>
    <n v="62"/>
  </r>
  <r>
    <n v="3380"/>
    <s v="Marcos Teixeira"/>
    <x v="2"/>
    <d v="2024-07-24T00:00:00"/>
    <x v="0"/>
    <n v="10"/>
    <x v="1"/>
    <x v="1"/>
    <x v="1"/>
    <x v="0"/>
    <n v="20"/>
    <n v="15"/>
    <n v="15"/>
  </r>
  <r>
    <n v="3381"/>
    <s v="Natalia Costa"/>
    <x v="1"/>
    <d v="2024-07-25T00:00:00"/>
    <x v="1"/>
    <n v="5"/>
    <x v="0"/>
    <x v="1"/>
    <x v="1"/>
    <x v="1"/>
    <n v="0"/>
    <n v="1"/>
    <n v="4"/>
  </r>
  <r>
    <n v="3382"/>
    <s v="Oscar Ribeiro"/>
    <x v="0"/>
    <d v="2024-07-26T00:00:00"/>
    <x v="0"/>
    <n v="15"/>
    <x v="2"/>
    <x v="0"/>
    <x v="0"/>
    <x v="0"/>
    <n v="20"/>
    <n v="7"/>
    <n v="58"/>
  </r>
  <r>
    <n v="3383"/>
    <s v="Patricia Almeida"/>
    <x v="2"/>
    <d v="2024-07-27T00:00:00"/>
    <x v="1"/>
    <n v="10"/>
    <x v="0"/>
    <x v="1"/>
    <x v="1"/>
    <x v="0"/>
    <n v="20"/>
    <n v="10"/>
    <n v="20"/>
  </r>
  <r>
    <n v="3384"/>
    <s v="Quirino Junior"/>
    <x v="1"/>
    <d v="2024-07-28T00:00:00"/>
    <x v="0"/>
    <n v="5"/>
    <x v="1"/>
    <x v="1"/>
    <x v="1"/>
    <x v="1"/>
    <n v="0"/>
    <n v="0"/>
    <n v="5"/>
  </r>
  <r>
    <n v="3385"/>
    <s v="Renata Machado"/>
    <x v="0"/>
    <d v="2024-07-29T00:00:00"/>
    <x v="1"/>
    <n v="15"/>
    <x v="0"/>
    <x v="0"/>
    <x v="0"/>
    <x v="0"/>
    <n v="20"/>
    <n v="20"/>
    <n v="45"/>
  </r>
  <r>
    <n v="3386"/>
    <s v="Sônia Alves"/>
    <x v="2"/>
    <d v="2024-07-30T00:00:00"/>
    <x v="0"/>
    <n v="10"/>
    <x v="2"/>
    <x v="1"/>
    <x v="1"/>
    <x v="0"/>
    <n v="20"/>
    <n v="15"/>
    <n v="15"/>
  </r>
  <r>
    <n v="3387"/>
    <s v="Tiago Nunes"/>
    <x v="1"/>
    <d v="2024-07-31T00:00:00"/>
    <x v="1"/>
    <n v="5"/>
    <x v="0"/>
    <x v="1"/>
    <x v="1"/>
    <x v="1"/>
    <n v="0"/>
    <n v="1"/>
    <n v="4"/>
  </r>
  <r>
    <n v="3388"/>
    <s v="Ulysses Pereira"/>
    <x v="0"/>
    <d v="2024-08-01T00:00:00"/>
    <x v="0"/>
    <n v="15"/>
    <x v="1"/>
    <x v="0"/>
    <x v="0"/>
    <x v="0"/>
    <n v="20"/>
    <n v="3"/>
    <n v="62"/>
  </r>
  <r>
    <n v="3389"/>
    <s v="Vanessa Lima"/>
    <x v="2"/>
    <d v="2024-08-02T00:00:00"/>
    <x v="1"/>
    <n v="10"/>
    <x v="0"/>
    <x v="1"/>
    <x v="1"/>
    <x v="0"/>
    <n v="20"/>
    <n v="10"/>
    <n v="20"/>
  </r>
  <r>
    <n v="3390"/>
    <s v="Wagner Santos"/>
    <x v="1"/>
    <d v="2024-08-03T00:00:00"/>
    <x v="0"/>
    <n v="5"/>
    <x v="2"/>
    <x v="1"/>
    <x v="1"/>
    <x v="1"/>
    <n v="0"/>
    <n v="0"/>
    <n v="5"/>
  </r>
  <r>
    <n v="3391"/>
    <s v="Xuxa Meneghel"/>
    <x v="0"/>
    <d v="2024-08-04T00:00:00"/>
    <x v="1"/>
    <n v="15"/>
    <x v="0"/>
    <x v="0"/>
    <x v="0"/>
    <x v="0"/>
    <n v="20"/>
    <n v="15"/>
    <n v="50"/>
  </r>
  <r>
    <n v="3392"/>
    <s v="Yasmin Silva"/>
    <x v="2"/>
    <d v="2024-08-05T00:00:00"/>
    <x v="0"/>
    <n v="10"/>
    <x v="1"/>
    <x v="1"/>
    <x v="1"/>
    <x v="0"/>
    <n v="20"/>
    <n v="15"/>
    <n v="15"/>
  </r>
  <r>
    <n v="3393"/>
    <s v="Zacarias de Souza"/>
    <x v="1"/>
    <d v="2024-08-06T00:00:00"/>
    <x v="1"/>
    <n v="5"/>
    <x v="0"/>
    <x v="1"/>
    <x v="1"/>
    <x v="1"/>
    <n v="0"/>
    <n v="1"/>
    <n v="4"/>
  </r>
  <r>
    <n v="3394"/>
    <s v="André Lima"/>
    <x v="0"/>
    <d v="2024-08-07T00:00:00"/>
    <x v="0"/>
    <n v="15"/>
    <x v="2"/>
    <x v="0"/>
    <x v="0"/>
    <x v="0"/>
    <n v="20"/>
    <n v="7"/>
    <n v="58"/>
  </r>
  <r>
    <n v="3395"/>
    <s v="Bianca Freitas"/>
    <x v="2"/>
    <d v="2024-08-08T00:00:00"/>
    <x v="1"/>
    <n v="10"/>
    <x v="0"/>
    <x v="1"/>
    <x v="1"/>
    <x v="0"/>
    <n v="20"/>
    <n v="10"/>
    <n v="20"/>
  </r>
  <r>
    <n v="3396"/>
    <s v="Caio Mendes"/>
    <x v="1"/>
    <d v="2024-08-09T00:00:00"/>
    <x v="0"/>
    <n v="5"/>
    <x v="1"/>
    <x v="1"/>
    <x v="1"/>
    <x v="1"/>
    <n v="0"/>
    <n v="0"/>
    <n v="5"/>
  </r>
  <r>
    <n v="3397"/>
    <s v="Daniela Moura"/>
    <x v="0"/>
    <d v="2024-08-10T00:00:00"/>
    <x v="1"/>
    <n v="15"/>
    <x v="0"/>
    <x v="0"/>
    <x v="0"/>
    <x v="0"/>
    <n v="20"/>
    <n v="20"/>
    <n v="45"/>
  </r>
  <r>
    <n v="3398"/>
    <s v="Eduardo Costa"/>
    <x v="2"/>
    <d v="2024-08-11T00:00:00"/>
    <x v="0"/>
    <n v="10"/>
    <x v="2"/>
    <x v="1"/>
    <x v="1"/>
    <x v="0"/>
    <n v="20"/>
    <n v="15"/>
    <n v="15"/>
  </r>
  <r>
    <n v="3399"/>
    <s v="Fernanda Gomes"/>
    <x v="1"/>
    <d v="2024-08-12T00:00:00"/>
    <x v="1"/>
    <n v="5"/>
    <x v="0"/>
    <x v="1"/>
    <x v="1"/>
    <x v="1"/>
    <n v="0"/>
    <n v="1"/>
    <n v="4"/>
  </r>
  <r>
    <n v="3400"/>
    <s v="Guilherme Souza"/>
    <x v="0"/>
    <d v="2024-08-13T00:00:00"/>
    <x v="0"/>
    <n v="15"/>
    <x v="1"/>
    <x v="0"/>
    <x v="0"/>
    <x v="0"/>
    <n v="20"/>
    <n v="5"/>
    <n v="60"/>
  </r>
  <r>
    <n v="3401"/>
    <s v="Helena Ribeiro"/>
    <x v="2"/>
    <d v="2024-08-14T00:00:00"/>
    <x v="1"/>
    <n v="10"/>
    <x v="0"/>
    <x v="1"/>
    <x v="1"/>
    <x v="0"/>
    <n v="20"/>
    <n v="10"/>
    <n v="20"/>
  </r>
  <r>
    <n v="3402"/>
    <s v="Igor Santos"/>
    <x v="1"/>
    <d v="2024-08-15T00:00:00"/>
    <x v="0"/>
    <n v="5"/>
    <x v="2"/>
    <x v="1"/>
    <x v="1"/>
    <x v="1"/>
    <n v="0"/>
    <n v="0"/>
    <n v="5"/>
  </r>
  <r>
    <n v="3403"/>
    <s v="João Carvalho"/>
    <x v="0"/>
    <d v="2024-08-16T00:00:00"/>
    <x v="1"/>
    <n v="15"/>
    <x v="0"/>
    <x v="0"/>
    <x v="0"/>
    <x v="0"/>
    <n v="20"/>
    <n v="3"/>
    <n v="62"/>
  </r>
  <r>
    <n v="3404"/>
    <s v="Klara Fagundes"/>
    <x v="2"/>
    <d v="2024-08-17T00:00:00"/>
    <x v="0"/>
    <n v="10"/>
    <x v="1"/>
    <x v="1"/>
    <x v="1"/>
    <x v="0"/>
    <n v="20"/>
    <n v="15"/>
    <n v="15"/>
  </r>
  <r>
    <n v="3405"/>
    <s v="Lúcia Mendonça"/>
    <x v="1"/>
    <d v="2024-08-18T00:00:00"/>
    <x v="1"/>
    <n v="5"/>
    <x v="0"/>
    <x v="1"/>
    <x v="1"/>
    <x v="1"/>
    <n v="0"/>
    <n v="1"/>
    <n v="4"/>
  </r>
  <r>
    <n v="3406"/>
    <s v="Marcelo Novaes"/>
    <x v="1"/>
    <d v="2024-08-19T00:00:00"/>
    <x v="0"/>
    <n v="5"/>
    <x v="0"/>
    <x v="1"/>
    <x v="1"/>
    <x v="1"/>
    <n v="0"/>
    <n v="0"/>
    <n v="5"/>
  </r>
  <r>
    <n v="3407"/>
    <s v="Nina Pacheco"/>
    <x v="0"/>
    <d v="2024-08-20T00:00:00"/>
    <x v="1"/>
    <n v="15"/>
    <x v="2"/>
    <x v="0"/>
    <x v="0"/>
    <x v="0"/>
    <n v="20"/>
    <n v="7"/>
    <n v="58"/>
  </r>
  <r>
    <n v="3408"/>
    <s v="Olívia Rios"/>
    <x v="2"/>
    <d v="2024-08-21T00:00:00"/>
    <x v="0"/>
    <n v="10"/>
    <x v="1"/>
    <x v="1"/>
    <x v="1"/>
    <x v="0"/>
    <n v="20"/>
    <n v="10"/>
    <n v="20"/>
  </r>
  <r>
    <n v="3409"/>
    <s v="Paulo Quintana"/>
    <x v="1"/>
    <d v="2024-08-22T00:00:00"/>
    <x v="1"/>
    <n v="5"/>
    <x v="2"/>
    <x v="1"/>
    <x v="1"/>
    <x v="1"/>
    <n v="0"/>
    <n v="1"/>
    <n v="4"/>
  </r>
  <r>
    <n v="3410"/>
    <s v="Raquel Domingos"/>
    <x v="0"/>
    <d v="2024-08-23T00:00:00"/>
    <x v="0"/>
    <n v="15"/>
    <x v="0"/>
    <x v="0"/>
    <x v="0"/>
    <x v="0"/>
    <n v="20"/>
    <n v="15"/>
    <n v="50"/>
  </r>
  <r>
    <n v="3411"/>
    <s v="Samuel Viana"/>
    <x v="2"/>
    <d v="2024-08-24T00:00:00"/>
    <x v="1"/>
    <n v="10"/>
    <x v="0"/>
    <x v="1"/>
    <x v="1"/>
    <x v="0"/>
    <n v="20"/>
    <n v="5"/>
    <n v="25"/>
  </r>
  <r>
    <n v="3412"/>
    <s v="Tatiane Rocha"/>
    <x v="1"/>
    <d v="2024-08-25T00:00:00"/>
    <x v="0"/>
    <n v="5"/>
    <x v="1"/>
    <x v="1"/>
    <x v="1"/>
    <x v="1"/>
    <n v="0"/>
    <n v="0"/>
    <n v="5"/>
  </r>
  <r>
    <n v="3413"/>
    <s v="Ulysses Farias"/>
    <x v="0"/>
    <d v="2024-08-26T00:00:00"/>
    <x v="1"/>
    <n v="15"/>
    <x v="2"/>
    <x v="0"/>
    <x v="0"/>
    <x v="0"/>
    <n v="20"/>
    <n v="20"/>
    <n v="45"/>
  </r>
  <r>
    <n v="3414"/>
    <s v="Vanessa Moreira"/>
    <x v="2"/>
    <d v="2024-08-27T00:00:00"/>
    <x v="0"/>
    <n v="10"/>
    <x v="2"/>
    <x v="1"/>
    <x v="1"/>
    <x v="0"/>
    <n v="20"/>
    <n v="12"/>
    <n v="18"/>
  </r>
  <r>
    <n v="3415"/>
    <s v="William Carvalho"/>
    <x v="1"/>
    <d v="2024-08-28T00:00:00"/>
    <x v="1"/>
    <n v="5"/>
    <x v="0"/>
    <x v="1"/>
    <x v="1"/>
    <x v="1"/>
    <n v="0"/>
    <n v="2"/>
    <n v="3"/>
  </r>
  <r>
    <n v="3416"/>
    <s v="Ximena Barros"/>
    <x v="0"/>
    <d v="2024-08-29T00:00:00"/>
    <x v="0"/>
    <n v="15"/>
    <x v="1"/>
    <x v="0"/>
    <x v="0"/>
    <x v="0"/>
    <n v="20"/>
    <n v="5"/>
    <n v="60"/>
  </r>
  <r>
    <n v="3417"/>
    <s v="Yara Machado"/>
    <x v="2"/>
    <d v="2024-08-30T00:00:00"/>
    <x v="1"/>
    <n v="10"/>
    <x v="0"/>
    <x v="1"/>
    <x v="1"/>
    <x v="0"/>
    <n v="20"/>
    <n v="10"/>
    <n v="20"/>
  </r>
  <r>
    <n v="3418"/>
    <s v="Zacarias Costa"/>
    <x v="1"/>
    <d v="2024-08-31T00:00:00"/>
    <x v="0"/>
    <n v="5"/>
    <x v="2"/>
    <x v="1"/>
    <x v="1"/>
    <x v="1"/>
    <n v="0"/>
    <n v="0"/>
    <n v="5"/>
  </r>
  <r>
    <n v="3419"/>
    <s v="André Lopes"/>
    <x v="0"/>
    <d v="2024-09-01T00:00:00"/>
    <x v="1"/>
    <n v="15"/>
    <x v="0"/>
    <x v="0"/>
    <x v="0"/>
    <x v="0"/>
    <n v="20"/>
    <n v="3"/>
    <n v="62"/>
  </r>
  <r>
    <n v="3420"/>
    <s v="Beatriz Souza"/>
    <x v="2"/>
    <d v="2024-09-02T00:00:00"/>
    <x v="0"/>
    <n v="10"/>
    <x v="1"/>
    <x v="1"/>
    <x v="1"/>
    <x v="0"/>
    <n v="20"/>
    <n v="15"/>
    <n v="15"/>
  </r>
  <r>
    <n v="3421"/>
    <s v="Caio Pereira"/>
    <x v="1"/>
    <d v="2024-09-03T00:00:00"/>
    <x v="1"/>
    <n v="5"/>
    <x v="0"/>
    <x v="1"/>
    <x v="1"/>
    <x v="1"/>
    <n v="0"/>
    <n v="1"/>
    <n v="4"/>
  </r>
  <r>
    <n v="3422"/>
    <s v="Daniela Araújo"/>
    <x v="0"/>
    <d v="2024-09-04T00:00:00"/>
    <x v="0"/>
    <n v="15"/>
    <x v="2"/>
    <x v="0"/>
    <x v="0"/>
    <x v="0"/>
    <n v="20"/>
    <n v="7"/>
    <n v="58"/>
  </r>
  <r>
    <n v="3423"/>
    <s v="Eduardo Santos"/>
    <x v="2"/>
    <d v="2024-09-05T00:00:00"/>
    <x v="1"/>
    <n v="10"/>
    <x v="0"/>
    <x v="1"/>
    <x v="1"/>
    <x v="0"/>
    <n v="20"/>
    <n v="10"/>
    <n v="20"/>
  </r>
  <r>
    <n v="3424"/>
    <s v="Fernanda Lima"/>
    <x v="1"/>
    <d v="2024-09-06T00:00:00"/>
    <x v="0"/>
    <n v="5"/>
    <x v="1"/>
    <x v="1"/>
    <x v="1"/>
    <x v="1"/>
    <n v="0"/>
    <n v="0"/>
    <n v="5"/>
  </r>
  <r>
    <n v="3425"/>
    <s v="Gabriel Teixeira"/>
    <x v="0"/>
    <d v="2024-09-07T00:00:00"/>
    <x v="1"/>
    <n v="15"/>
    <x v="0"/>
    <x v="0"/>
    <x v="0"/>
    <x v="0"/>
    <n v="20"/>
    <n v="20"/>
    <n v="45"/>
  </r>
  <r>
    <n v="3426"/>
    <s v="Helena Ribeiro"/>
    <x v="2"/>
    <d v="2024-09-08T00:00:00"/>
    <x v="0"/>
    <n v="10"/>
    <x v="2"/>
    <x v="1"/>
    <x v="1"/>
    <x v="0"/>
    <n v="20"/>
    <n v="15"/>
    <n v="15"/>
  </r>
  <r>
    <n v="3427"/>
    <s v="Igor Mendes"/>
    <x v="1"/>
    <d v="2024-09-09T00:00:00"/>
    <x v="1"/>
    <n v="5"/>
    <x v="0"/>
    <x v="1"/>
    <x v="1"/>
    <x v="1"/>
    <n v="0"/>
    <n v="1"/>
    <n v="4"/>
  </r>
  <r>
    <n v="3428"/>
    <s v="Joana Silveira"/>
    <x v="0"/>
    <d v="2024-09-10T00:00:00"/>
    <x v="0"/>
    <n v="15"/>
    <x v="1"/>
    <x v="0"/>
    <x v="0"/>
    <x v="0"/>
    <n v="20"/>
    <n v="3"/>
    <n v="62"/>
  </r>
  <r>
    <n v="3429"/>
    <s v="Lucas Martins"/>
    <x v="2"/>
    <d v="2024-09-11T00:00:00"/>
    <x v="1"/>
    <n v="10"/>
    <x v="0"/>
    <x v="1"/>
    <x v="1"/>
    <x v="0"/>
    <n v="20"/>
    <n v="10"/>
    <n v="20"/>
  </r>
  <r>
    <n v="3430"/>
    <s v="Marcela Gouveia"/>
    <x v="1"/>
    <d v="2024-09-12T00:00:00"/>
    <x v="0"/>
    <n v="5"/>
    <x v="2"/>
    <x v="1"/>
    <x v="1"/>
    <x v="1"/>
    <n v="0"/>
    <n v="0"/>
    <n v="5"/>
  </r>
  <r>
    <n v="3431"/>
    <s v="Nicolas Borges"/>
    <x v="0"/>
    <d v="2024-09-13T00:00:00"/>
    <x v="1"/>
    <n v="15"/>
    <x v="0"/>
    <x v="0"/>
    <x v="0"/>
    <x v="0"/>
    <n v="20"/>
    <n v="15"/>
    <n v="50"/>
  </r>
  <r>
    <n v="3432"/>
    <s v="Olivia Freitas"/>
    <x v="2"/>
    <d v="2024-09-14T00:00:00"/>
    <x v="0"/>
    <n v="10"/>
    <x v="1"/>
    <x v="1"/>
    <x v="1"/>
    <x v="0"/>
    <n v="20"/>
    <n v="15"/>
    <n v="15"/>
  </r>
  <r>
    <n v="3433"/>
    <s v="Paulo Nogueira"/>
    <x v="1"/>
    <d v="2024-09-15T00:00:00"/>
    <x v="1"/>
    <n v="5"/>
    <x v="0"/>
    <x v="1"/>
    <x v="1"/>
    <x v="1"/>
    <n v="0"/>
    <n v="1"/>
    <n v="4"/>
  </r>
  <r>
    <n v="3434"/>
    <s v="Raquel Andrade"/>
    <x v="0"/>
    <d v="2024-09-16T00:00:00"/>
    <x v="0"/>
    <n v="15"/>
    <x v="2"/>
    <x v="0"/>
    <x v="0"/>
    <x v="0"/>
    <n v="20"/>
    <n v="7"/>
    <n v="58"/>
  </r>
  <r>
    <n v="3435"/>
    <s v="Sônia Carvalho"/>
    <x v="2"/>
    <d v="2024-09-17T00:00:00"/>
    <x v="1"/>
    <n v="10"/>
    <x v="0"/>
    <x v="1"/>
    <x v="1"/>
    <x v="0"/>
    <n v="20"/>
    <n v="10"/>
    <n v="20"/>
  </r>
  <r>
    <n v="3436"/>
    <s v="Tiago Rodrigues"/>
    <x v="1"/>
    <d v="2024-09-18T00:00:00"/>
    <x v="0"/>
    <n v="5"/>
    <x v="0"/>
    <x v="1"/>
    <x v="1"/>
    <x v="1"/>
    <n v="0"/>
    <n v="0"/>
    <n v="5"/>
  </r>
  <r>
    <n v="3437"/>
    <s v="Ursula Monteiro"/>
    <x v="0"/>
    <d v="2024-09-19T00:00:00"/>
    <x v="1"/>
    <n v="15"/>
    <x v="2"/>
    <x v="0"/>
    <x v="0"/>
    <x v="0"/>
    <n v="20"/>
    <n v="7"/>
    <n v="58"/>
  </r>
  <r>
    <n v="3438"/>
    <s v="Vanessa Pereira"/>
    <x v="2"/>
    <d v="2024-09-20T00:00:00"/>
    <x v="0"/>
    <n v="10"/>
    <x v="1"/>
    <x v="1"/>
    <x v="1"/>
    <x v="0"/>
    <n v="20"/>
    <n v="10"/>
    <n v="20"/>
  </r>
  <r>
    <n v="3439"/>
    <s v="Walter Silva"/>
    <x v="1"/>
    <d v="2024-09-21T00:00:00"/>
    <x v="1"/>
    <n v="5"/>
    <x v="2"/>
    <x v="1"/>
    <x v="1"/>
    <x v="1"/>
    <n v="0"/>
    <n v="1"/>
    <n v="4"/>
  </r>
  <r>
    <n v="3440"/>
    <s v="Xavier Almeida"/>
    <x v="0"/>
    <d v="2024-09-22T00:00:00"/>
    <x v="0"/>
    <n v="15"/>
    <x v="0"/>
    <x v="0"/>
    <x v="0"/>
    <x v="0"/>
    <n v="20"/>
    <n v="15"/>
    <n v="50"/>
  </r>
  <r>
    <n v="3441"/>
    <s v="Yasmine Correia"/>
    <x v="2"/>
    <d v="2024-09-23T00:00:00"/>
    <x v="1"/>
    <n v="10"/>
    <x v="0"/>
    <x v="1"/>
    <x v="1"/>
    <x v="0"/>
    <n v="20"/>
    <n v="5"/>
    <n v="25"/>
  </r>
  <r>
    <n v="3442"/>
    <s v="Zacarias Almeida"/>
    <x v="1"/>
    <d v="2024-09-24T00:00:00"/>
    <x v="0"/>
    <n v="5"/>
    <x v="1"/>
    <x v="1"/>
    <x v="1"/>
    <x v="1"/>
    <n v="0"/>
    <n v="0"/>
    <n v="5"/>
  </r>
  <r>
    <n v="3443"/>
    <s v="Amanda Costa"/>
    <x v="0"/>
    <d v="2024-09-25T00:00:00"/>
    <x v="1"/>
    <n v="15"/>
    <x v="2"/>
    <x v="0"/>
    <x v="0"/>
    <x v="0"/>
    <n v="20"/>
    <n v="20"/>
    <n v="45"/>
  </r>
  <r>
    <n v="3444"/>
    <s v="Bruno Ferreira"/>
    <x v="2"/>
    <d v="2024-09-26T00:00:00"/>
    <x v="0"/>
    <n v="10"/>
    <x v="2"/>
    <x v="1"/>
    <x v="1"/>
    <x v="0"/>
    <n v="20"/>
    <n v="12"/>
    <n v="18"/>
  </r>
  <r>
    <n v="3445"/>
    <s v="Carla Dias"/>
    <x v="1"/>
    <d v="2024-09-27T00:00:00"/>
    <x v="1"/>
    <n v="5"/>
    <x v="0"/>
    <x v="1"/>
    <x v="1"/>
    <x v="1"/>
    <n v="0"/>
    <n v="2"/>
    <n v="3"/>
  </r>
  <r>
    <n v="3446"/>
    <s v="Diogo Martins"/>
    <x v="0"/>
    <d v="2024-09-28T00:00:00"/>
    <x v="0"/>
    <n v="15"/>
    <x v="1"/>
    <x v="0"/>
    <x v="0"/>
    <x v="0"/>
    <n v="20"/>
    <n v="5"/>
    <n v="60"/>
  </r>
  <r>
    <n v="3447"/>
    <s v="Elisa Campos"/>
    <x v="2"/>
    <d v="2024-09-29T00:00:00"/>
    <x v="1"/>
    <n v="10"/>
    <x v="0"/>
    <x v="1"/>
    <x v="1"/>
    <x v="0"/>
    <n v="20"/>
    <n v="10"/>
    <n v="20"/>
  </r>
  <r>
    <n v="3448"/>
    <s v="Fabiana Lima"/>
    <x v="1"/>
    <d v="2024-09-30T00:00:00"/>
    <x v="0"/>
    <n v="5"/>
    <x v="2"/>
    <x v="1"/>
    <x v="1"/>
    <x v="1"/>
    <n v="0"/>
    <n v="0"/>
    <n v="5"/>
  </r>
  <r>
    <n v="3449"/>
    <s v="Gabriel Santos"/>
    <x v="0"/>
    <d v="2024-10-01T00:00:00"/>
    <x v="1"/>
    <n v="15"/>
    <x v="0"/>
    <x v="0"/>
    <x v="0"/>
    <x v="0"/>
    <n v="20"/>
    <n v="3"/>
    <n v="62"/>
  </r>
  <r>
    <n v="3450"/>
    <s v="Helena Ferreira"/>
    <x v="2"/>
    <d v="2024-10-02T00:00:00"/>
    <x v="0"/>
    <n v="10"/>
    <x v="1"/>
    <x v="1"/>
    <x v="1"/>
    <x v="0"/>
    <n v="20"/>
    <n v="15"/>
    <n v="15"/>
  </r>
  <r>
    <n v="3451"/>
    <s v="Ígor Nunes"/>
    <x v="1"/>
    <d v="2024-10-03T00:00:00"/>
    <x v="1"/>
    <n v="5"/>
    <x v="0"/>
    <x v="1"/>
    <x v="1"/>
    <x v="1"/>
    <n v="0"/>
    <n v="1"/>
    <n v="4"/>
  </r>
  <r>
    <n v="3452"/>
    <s v="Joana Silveira"/>
    <x v="0"/>
    <d v="2024-10-04T00:00:00"/>
    <x v="0"/>
    <n v="15"/>
    <x v="2"/>
    <x v="0"/>
    <x v="0"/>
    <x v="0"/>
    <n v="20"/>
    <n v="7"/>
    <n v="58"/>
  </r>
  <r>
    <n v="3453"/>
    <s v="Kléber Oliveira"/>
    <x v="2"/>
    <d v="2024-10-05T00:00:00"/>
    <x v="1"/>
    <n v="10"/>
    <x v="0"/>
    <x v="1"/>
    <x v="1"/>
    <x v="0"/>
    <n v="20"/>
    <n v="10"/>
    <n v="20"/>
  </r>
  <r>
    <n v="3454"/>
    <s v="Luciana Morais"/>
    <x v="1"/>
    <d v="2024-10-06T00:00:00"/>
    <x v="0"/>
    <n v="5"/>
    <x v="1"/>
    <x v="1"/>
    <x v="1"/>
    <x v="1"/>
    <n v="0"/>
    <n v="0"/>
    <n v="5"/>
  </r>
  <r>
    <n v="3455"/>
    <s v="Marcos Vinícius"/>
    <x v="0"/>
    <d v="2024-10-07T00:00:00"/>
    <x v="1"/>
    <n v="15"/>
    <x v="0"/>
    <x v="0"/>
    <x v="0"/>
    <x v="0"/>
    <n v="20"/>
    <n v="20"/>
    <n v="45"/>
  </r>
  <r>
    <n v="3456"/>
    <s v="Natália Barros"/>
    <x v="2"/>
    <d v="2024-10-08T00:00:00"/>
    <x v="0"/>
    <n v="10"/>
    <x v="2"/>
    <x v="1"/>
    <x v="1"/>
    <x v="0"/>
    <n v="20"/>
    <n v="15"/>
    <n v="15"/>
  </r>
  <r>
    <n v="3457"/>
    <s v="Oscar Sampaio"/>
    <x v="1"/>
    <d v="2024-10-09T00:00:00"/>
    <x v="1"/>
    <n v="5"/>
    <x v="0"/>
    <x v="1"/>
    <x v="1"/>
    <x v="1"/>
    <n v="0"/>
    <n v="1"/>
    <n v="4"/>
  </r>
  <r>
    <n v="3458"/>
    <s v="Patrícia Leite"/>
    <x v="0"/>
    <d v="2024-10-10T00:00:00"/>
    <x v="0"/>
    <n v="15"/>
    <x v="1"/>
    <x v="0"/>
    <x v="0"/>
    <x v="0"/>
    <n v="20"/>
    <n v="3"/>
    <n v="62"/>
  </r>
  <r>
    <n v="3459"/>
    <s v="Quênia Rocha"/>
    <x v="2"/>
    <d v="2024-10-11T00:00:00"/>
    <x v="1"/>
    <n v="10"/>
    <x v="0"/>
    <x v="1"/>
    <x v="1"/>
    <x v="0"/>
    <n v="20"/>
    <n v="10"/>
    <n v="20"/>
  </r>
  <r>
    <n v="3460"/>
    <s v="Rafael Torres"/>
    <x v="1"/>
    <d v="2024-10-12T00:00:00"/>
    <x v="0"/>
    <n v="5"/>
    <x v="2"/>
    <x v="1"/>
    <x v="1"/>
    <x v="1"/>
    <n v="0"/>
    <n v="0"/>
    <n v="5"/>
  </r>
  <r>
    <n v="3461"/>
    <s v="Sandra Gouveia"/>
    <x v="0"/>
    <d v="2024-10-13T00:00:00"/>
    <x v="1"/>
    <n v="15"/>
    <x v="0"/>
    <x v="0"/>
    <x v="0"/>
    <x v="0"/>
    <n v="20"/>
    <n v="15"/>
    <n v="50"/>
  </r>
  <r>
    <n v="3462"/>
    <s v="Tiago Lacerda"/>
    <x v="2"/>
    <d v="2024-10-14T00:00:00"/>
    <x v="0"/>
    <n v="10"/>
    <x v="1"/>
    <x v="1"/>
    <x v="1"/>
    <x v="0"/>
    <n v="20"/>
    <n v="15"/>
    <n v="15"/>
  </r>
  <r>
    <n v="3463"/>
    <s v="Ursula Fonseca"/>
    <x v="1"/>
    <d v="2024-10-15T00:00:00"/>
    <x v="1"/>
    <n v="5"/>
    <x v="0"/>
    <x v="1"/>
    <x v="1"/>
    <x v="1"/>
    <n v="0"/>
    <n v="1"/>
    <n v="4"/>
  </r>
  <r>
    <n v="3464"/>
    <s v="Vanessa Andrade"/>
    <x v="0"/>
    <d v="2024-10-16T00:00:00"/>
    <x v="0"/>
    <n v="15"/>
    <x v="2"/>
    <x v="0"/>
    <x v="0"/>
    <x v="0"/>
    <n v="20"/>
    <n v="7"/>
    <n v="58"/>
  </r>
  <r>
    <n v="3465"/>
    <s v="William Castro"/>
    <x v="2"/>
    <d v="2024-10-17T00:00:00"/>
    <x v="1"/>
    <n v="10"/>
    <x v="0"/>
    <x v="1"/>
    <x v="1"/>
    <x v="0"/>
    <n v="20"/>
    <n v="10"/>
    <n v="20"/>
  </r>
  <r>
    <n v="3466"/>
    <s v="Xavier Monteiro"/>
    <x v="1"/>
    <d v="2024-10-18T00:00:00"/>
    <x v="0"/>
    <n v="5"/>
    <x v="1"/>
    <x v="1"/>
    <x v="1"/>
    <x v="1"/>
    <n v="0"/>
    <n v="0"/>
    <n v="5"/>
  </r>
  <r>
    <n v="3467"/>
    <s v="Yasmin Figueira"/>
    <x v="0"/>
    <d v="2024-10-19T00:00:00"/>
    <x v="1"/>
    <n v="15"/>
    <x v="0"/>
    <x v="0"/>
    <x v="0"/>
    <x v="0"/>
    <n v="20"/>
    <n v="15"/>
    <n v="50"/>
  </r>
  <r>
    <n v="3468"/>
    <s v="Zacarias Mendonça"/>
    <x v="2"/>
    <d v="2024-10-20T00:00:00"/>
    <x v="0"/>
    <n v="10"/>
    <x v="2"/>
    <x v="1"/>
    <x v="1"/>
    <x v="0"/>
    <n v="20"/>
    <n v="12"/>
    <n v="18"/>
  </r>
  <r>
    <n v="3469"/>
    <s v="Amanda Menezes"/>
    <x v="1"/>
    <d v="2024-10-21T00:00:00"/>
    <x v="1"/>
    <n v="5"/>
    <x v="0"/>
    <x v="1"/>
    <x v="1"/>
    <x v="1"/>
    <n v="0"/>
    <n v="2"/>
    <n v="3"/>
  </r>
  <r>
    <n v="3470"/>
    <s v="Bruno Santos"/>
    <x v="0"/>
    <d v="2024-10-22T00:00:00"/>
    <x v="0"/>
    <n v="15"/>
    <x v="1"/>
    <x v="0"/>
    <x v="0"/>
    <x v="0"/>
    <n v="20"/>
    <n v="5"/>
    <n v="60"/>
  </r>
  <r>
    <n v="3471"/>
    <s v="Carla Ferreira"/>
    <x v="2"/>
    <d v="2024-10-23T00:00:00"/>
    <x v="1"/>
    <n v="10"/>
    <x v="0"/>
    <x v="1"/>
    <x v="1"/>
    <x v="0"/>
    <n v="20"/>
    <n v="10"/>
    <n v="20"/>
  </r>
  <r>
    <n v="3472"/>
    <s v="Diogo Alves"/>
    <x v="1"/>
    <d v="2024-10-24T00:00:00"/>
    <x v="0"/>
    <n v="5"/>
    <x v="2"/>
    <x v="1"/>
    <x v="1"/>
    <x v="1"/>
    <n v="0"/>
    <n v="0"/>
    <n v="5"/>
  </r>
  <r>
    <n v="3473"/>
    <s v="Elisa Neves"/>
    <x v="0"/>
    <d v="2024-10-25T00:00:00"/>
    <x v="1"/>
    <n v="15"/>
    <x v="0"/>
    <x v="0"/>
    <x v="0"/>
    <x v="0"/>
    <n v="20"/>
    <n v="3"/>
    <n v="62"/>
  </r>
  <r>
    <n v="3474"/>
    <s v="Fabiano Pires"/>
    <x v="2"/>
    <d v="2024-10-26T00:00:00"/>
    <x v="0"/>
    <n v="10"/>
    <x v="1"/>
    <x v="1"/>
    <x v="1"/>
    <x v="0"/>
    <n v="20"/>
    <n v="15"/>
    <n v="15"/>
  </r>
  <r>
    <n v="3475"/>
    <s v="Giovana Ribeiro"/>
    <x v="1"/>
    <d v="2024-10-27T00:00:00"/>
    <x v="1"/>
    <n v="5"/>
    <x v="0"/>
    <x v="1"/>
    <x v="1"/>
    <x v="1"/>
    <n v="0"/>
    <n v="1"/>
    <n v="4"/>
  </r>
  <r>
    <n v="3476"/>
    <s v="Hélio Costa"/>
    <x v="0"/>
    <d v="2024-10-28T00:00:00"/>
    <x v="0"/>
    <n v="15"/>
    <x v="2"/>
    <x v="0"/>
    <x v="0"/>
    <x v="0"/>
    <n v="20"/>
    <n v="7"/>
    <n v="58"/>
  </r>
  <r>
    <n v="3477"/>
    <s v="Íris Loureiro"/>
    <x v="2"/>
    <d v="2024-10-29T00:00:00"/>
    <x v="1"/>
    <n v="10"/>
    <x v="0"/>
    <x v="1"/>
    <x v="1"/>
    <x v="0"/>
    <n v="20"/>
    <n v="10"/>
    <n v="20"/>
  </r>
  <r>
    <n v="3478"/>
    <s v="João Pereira"/>
    <x v="1"/>
    <d v="2024-10-30T00:00:00"/>
    <x v="0"/>
    <n v="5"/>
    <x v="1"/>
    <x v="1"/>
    <x v="1"/>
    <x v="1"/>
    <n v="0"/>
    <n v="0"/>
    <n v="5"/>
  </r>
  <r>
    <n v="3479"/>
    <s v="Klara Silva"/>
    <x v="0"/>
    <d v="2024-10-31T00:00:00"/>
    <x v="1"/>
    <n v="15"/>
    <x v="0"/>
    <x v="0"/>
    <x v="0"/>
    <x v="0"/>
    <n v="20"/>
    <n v="20"/>
    <n v="45"/>
  </r>
  <r>
    <n v="3480"/>
    <s v="Luciana Barros"/>
    <x v="2"/>
    <d v="2024-11-01T00:00:00"/>
    <x v="0"/>
    <n v="10"/>
    <x v="2"/>
    <x v="1"/>
    <x v="1"/>
    <x v="0"/>
    <n v="20"/>
    <n v="15"/>
    <n v="15"/>
  </r>
  <r>
    <n v="3481"/>
    <s v="Marcos Gomes"/>
    <x v="1"/>
    <d v="2024-11-02T00:00:00"/>
    <x v="1"/>
    <n v="5"/>
    <x v="0"/>
    <x v="1"/>
    <x v="1"/>
    <x v="1"/>
    <n v="0"/>
    <n v="1"/>
    <n v="4"/>
  </r>
  <r>
    <n v="3482"/>
    <s v="Natália Soares"/>
    <x v="0"/>
    <d v="2024-11-03T00:00:00"/>
    <x v="0"/>
    <n v="15"/>
    <x v="1"/>
    <x v="0"/>
    <x v="0"/>
    <x v="0"/>
    <n v="20"/>
    <n v="3"/>
    <n v="62"/>
  </r>
  <r>
    <n v="3483"/>
    <s v="Oscar Machado"/>
    <x v="2"/>
    <d v="2024-11-04T00:00:00"/>
    <x v="1"/>
    <n v="10"/>
    <x v="0"/>
    <x v="1"/>
    <x v="1"/>
    <x v="0"/>
    <n v="20"/>
    <n v="10"/>
    <n v="20"/>
  </r>
  <r>
    <n v="3484"/>
    <s v="Patrícia Lima"/>
    <x v="1"/>
    <d v="2024-11-05T00:00:00"/>
    <x v="0"/>
    <n v="5"/>
    <x v="2"/>
    <x v="1"/>
    <x v="1"/>
    <x v="1"/>
    <n v="0"/>
    <n v="0"/>
    <n v="5"/>
  </r>
  <r>
    <n v="3485"/>
    <s v="Quirino Neto"/>
    <x v="0"/>
    <d v="2024-11-06T00:00:00"/>
    <x v="1"/>
    <n v="15"/>
    <x v="0"/>
    <x v="0"/>
    <x v="0"/>
    <x v="0"/>
    <n v="20"/>
    <n v="15"/>
    <n v="50"/>
  </r>
  <r>
    <n v="3486"/>
    <s v="Rafaela Souza"/>
    <x v="1"/>
    <d v="2024-11-07T00:00:00"/>
    <x v="0"/>
    <n v="5"/>
    <x v="0"/>
    <x v="1"/>
    <x v="1"/>
    <x v="1"/>
    <n v="0"/>
    <n v="0"/>
    <n v="5"/>
  </r>
  <r>
    <n v="3487"/>
    <s v="Sandro Almeida"/>
    <x v="0"/>
    <d v="2024-11-08T00:00:00"/>
    <x v="1"/>
    <n v="15"/>
    <x v="2"/>
    <x v="0"/>
    <x v="0"/>
    <x v="0"/>
    <n v="20"/>
    <n v="7"/>
    <n v="58"/>
  </r>
  <r>
    <n v="3488"/>
    <s v="Tânia Ribeiro"/>
    <x v="2"/>
    <d v="2024-11-09T00:00:00"/>
    <x v="0"/>
    <n v="10"/>
    <x v="1"/>
    <x v="1"/>
    <x v="1"/>
    <x v="0"/>
    <n v="20"/>
    <n v="10"/>
    <n v="20"/>
  </r>
  <r>
    <n v="3489"/>
    <s v="Ugo Dias"/>
    <x v="1"/>
    <d v="2024-11-10T00:00:00"/>
    <x v="1"/>
    <n v="5"/>
    <x v="2"/>
    <x v="1"/>
    <x v="1"/>
    <x v="1"/>
    <n v="0"/>
    <n v="1"/>
    <n v="4"/>
  </r>
  <r>
    <n v="3490"/>
    <s v="Valéria Lima"/>
    <x v="0"/>
    <d v="2024-11-11T00:00:00"/>
    <x v="0"/>
    <n v="15"/>
    <x v="0"/>
    <x v="0"/>
    <x v="0"/>
    <x v="0"/>
    <n v="20"/>
    <n v="15"/>
    <n v="50"/>
  </r>
  <r>
    <n v="3491"/>
    <s v="William Fernandes"/>
    <x v="2"/>
    <d v="2024-11-12T00:00:00"/>
    <x v="1"/>
    <n v="10"/>
    <x v="0"/>
    <x v="1"/>
    <x v="1"/>
    <x v="0"/>
    <n v="20"/>
    <n v="5"/>
    <n v="25"/>
  </r>
  <r>
    <n v="3492"/>
    <s v="Xuxa Mendes"/>
    <x v="1"/>
    <d v="2024-11-13T00:00:00"/>
    <x v="0"/>
    <n v="5"/>
    <x v="1"/>
    <x v="1"/>
    <x v="1"/>
    <x v="1"/>
    <n v="0"/>
    <n v="0"/>
    <n v="5"/>
  </r>
  <r>
    <n v="3493"/>
    <s v="Ygor Farias"/>
    <x v="0"/>
    <d v="2024-11-14T00:00:00"/>
    <x v="1"/>
    <n v="15"/>
    <x v="2"/>
    <x v="0"/>
    <x v="0"/>
    <x v="0"/>
    <n v="20"/>
    <n v="20"/>
    <n v="45"/>
  </r>
  <r>
    <n v="3494"/>
    <s v="Zilda Barros"/>
    <x v="2"/>
    <d v="2024-11-15T00:00:00"/>
    <x v="0"/>
    <n v="10"/>
    <x v="2"/>
    <x v="1"/>
    <x v="1"/>
    <x v="0"/>
    <n v="20"/>
    <n v="12"/>
    <n v="18"/>
  </r>
  <r>
    <n v="3495"/>
    <s v="Amanda Santos"/>
    <x v="1"/>
    <d v="2024-11-16T00:00:00"/>
    <x v="1"/>
    <n v="5"/>
    <x v="0"/>
    <x v="1"/>
    <x v="1"/>
    <x v="1"/>
    <n v="0"/>
    <n v="2"/>
    <n v="3"/>
  </r>
  <r>
    <n v="3496"/>
    <s v="Bruno Costa"/>
    <x v="0"/>
    <d v="2024-11-17T00:00:00"/>
    <x v="0"/>
    <n v="15"/>
    <x v="1"/>
    <x v="0"/>
    <x v="0"/>
    <x v="0"/>
    <n v="20"/>
    <n v="5"/>
    <n v="60"/>
  </r>
  <r>
    <n v="3497"/>
    <s v="Carla Rodrigues"/>
    <x v="2"/>
    <d v="2024-11-18T00:00:00"/>
    <x v="1"/>
    <n v="10"/>
    <x v="0"/>
    <x v="1"/>
    <x v="1"/>
    <x v="0"/>
    <n v="20"/>
    <n v="10"/>
    <n v="20"/>
  </r>
  <r>
    <n v="3498"/>
    <s v="Diogo Pereira"/>
    <x v="1"/>
    <d v="2024-11-19T00:00:00"/>
    <x v="0"/>
    <n v="5"/>
    <x v="2"/>
    <x v="1"/>
    <x v="1"/>
    <x v="1"/>
    <n v="0"/>
    <n v="0"/>
    <n v="5"/>
  </r>
  <r>
    <n v="3499"/>
    <s v="Elisa Correia"/>
    <x v="0"/>
    <d v="2024-11-20T00:00:00"/>
    <x v="1"/>
    <n v="15"/>
    <x v="0"/>
    <x v="0"/>
    <x v="0"/>
    <x v="0"/>
    <n v="20"/>
    <n v="3"/>
    <n v="62"/>
  </r>
  <r>
    <n v="3500"/>
    <s v="Fábio Lourenço"/>
    <x v="2"/>
    <d v="2024-11-21T00:00:00"/>
    <x v="0"/>
    <n v="10"/>
    <x v="1"/>
    <x v="1"/>
    <x v="1"/>
    <x v="0"/>
    <n v="20"/>
    <n v="15"/>
    <n v="15"/>
  </r>
  <r>
    <n v="3501"/>
    <s v="Gabriela Neves"/>
    <x v="1"/>
    <d v="2024-11-22T00:00:00"/>
    <x v="1"/>
    <n v="5"/>
    <x v="0"/>
    <x v="1"/>
    <x v="1"/>
    <x v="1"/>
    <n v="0"/>
    <n v="1"/>
    <n v="4"/>
  </r>
  <r>
    <n v="3502"/>
    <s v="Henrique Gonçalves"/>
    <x v="0"/>
    <d v="2024-11-23T00:00:00"/>
    <x v="0"/>
    <n v="15"/>
    <x v="2"/>
    <x v="0"/>
    <x v="0"/>
    <x v="0"/>
    <n v="20"/>
    <n v="7"/>
    <n v="58"/>
  </r>
  <r>
    <n v="3503"/>
    <s v="Íris Santos"/>
    <x v="2"/>
    <d v="2024-11-24T00:00:00"/>
    <x v="1"/>
    <n v="10"/>
    <x v="0"/>
    <x v="1"/>
    <x v="1"/>
    <x v="0"/>
    <n v="20"/>
    <n v="10"/>
    <n v="20"/>
  </r>
  <r>
    <n v="3504"/>
    <s v="João Marcelo Alves"/>
    <x v="1"/>
    <d v="2024-11-25T00:00:00"/>
    <x v="0"/>
    <n v="5"/>
    <x v="1"/>
    <x v="1"/>
    <x v="1"/>
    <x v="1"/>
    <n v="0"/>
    <n v="0"/>
    <n v="5"/>
  </r>
  <r>
    <n v="3505"/>
    <s v="Klara Fonseca"/>
    <x v="0"/>
    <d v="2024-11-26T00:00:00"/>
    <x v="1"/>
    <n v="15"/>
    <x v="0"/>
    <x v="0"/>
    <x v="0"/>
    <x v="0"/>
    <n v="20"/>
    <n v="20"/>
    <n v="45"/>
  </r>
  <r>
    <n v="3506"/>
    <s v="Lucas Mendonça"/>
    <x v="2"/>
    <d v="2024-11-27T00:00:00"/>
    <x v="0"/>
    <n v="10"/>
    <x v="2"/>
    <x v="1"/>
    <x v="1"/>
    <x v="0"/>
    <n v="20"/>
    <n v="15"/>
    <n v="15"/>
  </r>
  <r>
    <n v="3507"/>
    <s v="Marcela Torres"/>
    <x v="1"/>
    <d v="2024-11-28T00:00:00"/>
    <x v="1"/>
    <n v="5"/>
    <x v="0"/>
    <x v="1"/>
    <x v="1"/>
    <x v="1"/>
    <n v="0"/>
    <n v="1"/>
    <n v="4"/>
  </r>
  <r>
    <n v="3508"/>
    <s v="Natália Castro"/>
    <x v="0"/>
    <d v="2024-11-29T00:00:00"/>
    <x v="0"/>
    <n v="15"/>
    <x v="1"/>
    <x v="0"/>
    <x v="0"/>
    <x v="0"/>
    <n v="20"/>
    <n v="3"/>
    <n v="62"/>
  </r>
  <r>
    <n v="3509"/>
    <s v="Oscar Martins"/>
    <x v="2"/>
    <d v="2024-11-30T00:00:00"/>
    <x v="1"/>
    <n v="10"/>
    <x v="0"/>
    <x v="1"/>
    <x v="1"/>
    <x v="0"/>
    <n v="20"/>
    <n v="10"/>
    <n v="20"/>
  </r>
  <r>
    <n v="3510"/>
    <s v="Patrícia Oliveira"/>
    <x v="1"/>
    <d v="2024-12-01T00:00:00"/>
    <x v="0"/>
    <n v="5"/>
    <x v="2"/>
    <x v="1"/>
    <x v="1"/>
    <x v="1"/>
    <n v="0"/>
    <n v="0"/>
    <n v="5"/>
  </r>
  <r>
    <n v="3511"/>
    <s v="Quentin Nogueira"/>
    <x v="0"/>
    <d v="2024-12-02T00:00:00"/>
    <x v="1"/>
    <n v="15"/>
    <x v="0"/>
    <x v="0"/>
    <x v="0"/>
    <x v="0"/>
    <n v="20"/>
    <n v="15"/>
    <n v="50"/>
  </r>
  <r>
    <n v="3512"/>
    <s v="Raquel Silva"/>
    <x v="2"/>
    <d v="2024-12-03T00:00:00"/>
    <x v="0"/>
    <n v="10"/>
    <x v="1"/>
    <x v="1"/>
    <x v="1"/>
    <x v="0"/>
    <n v="20"/>
    <n v="15"/>
    <n v="15"/>
  </r>
  <r>
    <n v="3513"/>
    <s v="Sandro Gomes"/>
    <x v="1"/>
    <d v="2024-12-04T00:00:00"/>
    <x v="1"/>
    <n v="5"/>
    <x v="0"/>
    <x v="1"/>
    <x v="1"/>
    <x v="1"/>
    <n v="0"/>
    <n v="1"/>
    <n v="4"/>
  </r>
  <r>
    <n v="3514"/>
    <s v="Tânia Machado"/>
    <x v="0"/>
    <d v="2024-12-05T00:00:00"/>
    <x v="0"/>
    <n v="15"/>
    <x v="2"/>
    <x v="0"/>
    <x v="0"/>
    <x v="0"/>
    <n v="20"/>
    <n v="7"/>
    <n v="58"/>
  </r>
  <r>
    <n v="3515"/>
    <s v="Ursula Silva"/>
    <x v="2"/>
    <d v="2024-12-06T00:00:00"/>
    <x v="1"/>
    <n v="10"/>
    <x v="0"/>
    <x v="1"/>
    <x v="1"/>
    <x v="0"/>
    <n v="20"/>
    <n v="10"/>
    <n v="20"/>
  </r>
  <r>
    <n v="3516"/>
    <s v="Vanessa Moraes"/>
    <x v="1"/>
    <d v="2024-12-07T00:00:00"/>
    <x v="0"/>
    <n v="5"/>
    <x v="1"/>
    <x v="1"/>
    <x v="1"/>
    <x v="1"/>
    <n v="0"/>
    <n v="0"/>
    <n v="5"/>
  </r>
  <r>
    <n v="3517"/>
    <s v="William Carvalho"/>
    <x v="0"/>
    <d v="2024-12-08T00:00:00"/>
    <x v="1"/>
    <n v="15"/>
    <x v="0"/>
    <x v="0"/>
    <x v="0"/>
    <x v="0"/>
    <n v="20"/>
    <n v="20"/>
    <n v="45"/>
  </r>
  <r>
    <n v="3518"/>
    <s v="Xavier Reis"/>
    <x v="2"/>
    <d v="2024-12-09T00:00:00"/>
    <x v="0"/>
    <n v="10"/>
    <x v="2"/>
    <x v="1"/>
    <x v="1"/>
    <x v="0"/>
    <n v="20"/>
    <n v="12"/>
    <n v="18"/>
  </r>
  <r>
    <n v="3519"/>
    <s v="Yasmin Rocha"/>
    <x v="1"/>
    <d v="2024-12-10T00:00:00"/>
    <x v="1"/>
    <n v="5"/>
    <x v="0"/>
    <x v="1"/>
    <x v="1"/>
    <x v="1"/>
    <n v="0"/>
    <n v="2"/>
    <n v="3"/>
  </r>
  <r>
    <n v="3520"/>
    <s v="Zacarias Duarte"/>
    <x v="0"/>
    <d v="2024-12-11T00:00:00"/>
    <x v="0"/>
    <n v="15"/>
    <x v="1"/>
    <x v="0"/>
    <x v="0"/>
    <x v="0"/>
    <n v="20"/>
    <n v="5"/>
    <n v="60"/>
  </r>
  <r>
    <n v="3521"/>
    <s v="Amanda Freitas"/>
    <x v="2"/>
    <d v="2024-12-12T00:00:00"/>
    <x v="1"/>
    <n v="10"/>
    <x v="0"/>
    <x v="1"/>
    <x v="1"/>
    <x v="0"/>
    <n v="20"/>
    <n v="10"/>
    <n v="20"/>
  </r>
  <r>
    <n v="3522"/>
    <s v="Bruno Almeida"/>
    <x v="1"/>
    <d v="2024-12-13T00:00:00"/>
    <x v="0"/>
    <n v="5"/>
    <x v="2"/>
    <x v="1"/>
    <x v="1"/>
    <x v="1"/>
    <n v="0"/>
    <n v="0"/>
    <n v="5"/>
  </r>
  <r>
    <n v="3523"/>
    <s v="Carla Siqueira"/>
    <x v="0"/>
    <d v="2024-12-14T00:00:00"/>
    <x v="1"/>
    <n v="15"/>
    <x v="0"/>
    <x v="0"/>
    <x v="0"/>
    <x v="0"/>
    <n v="20"/>
    <n v="3"/>
    <n v="62"/>
  </r>
  <r>
    <n v="3524"/>
    <s v="Diogo Ramos"/>
    <x v="2"/>
    <d v="2024-12-15T00:00:00"/>
    <x v="0"/>
    <n v="10"/>
    <x v="1"/>
    <x v="1"/>
    <x v="1"/>
    <x v="0"/>
    <n v="20"/>
    <n v="15"/>
    <n v="15"/>
  </r>
  <r>
    <n v="3525"/>
    <s v="Elisa Magalhães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CF7AE-CCDE-40C4-B10C-D5ADB18C7B74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3:C1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FABBE-3260-446E-80A2-97169C87841A}" name="tbl_EA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413F7-C4DA-42EF-8E38-CCD575FA96F6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:E5" firstHeaderRow="1" firstDataRow="2" firstDataCol="1"/>
  <pivotFields count="13">
    <pivotField showAll="0"/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Fields count="1">
    <field x="4"/>
  </colFields>
  <colItems count="3">
    <i>
      <x/>
    </i>
    <i>
      <x v="1"/>
    </i>
    <i t="grand">
      <x/>
    </i>
  </colItems>
  <dataFields count="1">
    <dataField name="Soma de Total Value" fld="12" baseField="0" baseItem="0"/>
  </dataFields>
  <formats count="3">
    <format dxfId="14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13">
      <pivotArea outline="0" collapsedLevelsAreSubtotals="1" fieldPosition="0">
        <references count="1">
          <reference field="4" count="1" selected="0">
            <x v="1"/>
          </reference>
        </references>
      </pivotArea>
    </format>
    <format dxfId="12">
      <pivotArea grandCol="1" outline="0" collapsedLevelsAreSubtotals="1" fieldPosition="0"/>
    </format>
  </formats>
  <chartFormats count="3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7B58F83-3F8F-437D-8551-196B96528849}" sourceName="Subscription Type">
  <pivotTables>
    <pivotTable tabId="3" name="Tabela dinâmica1"/>
    <pivotTable tabId="3" name="tbl_EA"/>
    <pivotTable tabId="3" name="Tabela dinâmica3"/>
  </pivotTables>
  <data>
    <tabular pivotCacheId="1944675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6DEF402-5FF5-4E7C-ACAC-6342303FB82A}" cache="SegmentaçãodeDados_Subscription_Type" caption="Subscription Type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7"/>
    <tableColumn id="2" xr3:uid="{53DD39D0-2220-4121-9E9D-4EAA7E151C0F}" name="Name" dataDxfId="26"/>
    <tableColumn id="3" xr3:uid="{4F5FF271-4C57-4BE0-8F2C-F82C8551625C}" name="Plan" dataDxfId="25"/>
    <tableColumn id="4" xr3:uid="{8C17EB93-79B9-4E55-B8F7-BEB82F8253E9}" name="Start Date" dataDxfId="24"/>
    <tableColumn id="5" xr3:uid="{48CEDF9B-1689-482A-A828-5CCE7713264A}" name="Auto Renewal" dataDxfId="23"/>
    <tableColumn id="6" xr3:uid="{78B82374-9AA7-4E38-AE4F-78CDE6C83720}" name="Subscription Price" dataDxfId="22" dataCellStyle="Moeda"/>
    <tableColumn id="7" xr3:uid="{F2433F68-AF33-49D0-B1FB-19A396074EDE}" name="Subscription Type" dataDxfId="21"/>
    <tableColumn id="8" xr3:uid="{FD4D9C95-F6E5-4933-9068-A71FF7DF9343}" name="EA Play Season Pass" dataDxfId="20"/>
    <tableColumn id="13" xr3:uid="{978DD0D2-834E-4CE4-A39B-30976086932F}" name="EA Play Season Pass_x000a_Price" dataDxfId="19" dataCellStyle="Moeda"/>
    <tableColumn id="9" xr3:uid="{6E29F111-C395-4580-9DAD-3407D9E8B1A4}" name="Minecraft Season Pass" dataDxfId="18"/>
    <tableColumn id="10" xr3:uid="{EF544EAA-7F25-4FD5-A10E-8E62804DB9E3}" name="Minecraft Season Pass Price" dataDxfId="17" dataCellStyle="Moeda"/>
    <tableColumn id="11" xr3:uid="{7F6EB64A-1F07-4E48-9F0F-AC7D9DCD26F8}" name="Coupon Value" dataDxfId="16" dataCellStyle="Moeda"/>
    <tableColumn id="12" xr3:uid="{2B04ABC8-DE6F-426E-ADC0-D8AFC68CA58E}" name="Total Value" dataDxfId="1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I17"/>
  <sheetViews>
    <sheetView showGridLines="0" workbookViewId="0">
      <selection activeCell="E14" sqref="E1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0.7109375" bestFit="1" customWidth="1"/>
    <col min="5" max="5" width="12.28515625" bestFit="1" customWidth="1"/>
    <col min="6" max="6" width="19.140625" bestFit="1" customWidth="1"/>
    <col min="7" max="7" width="18.42578125" bestFit="1" customWidth="1"/>
    <col min="8" max="8" width="27.7109375" bestFit="1" customWidth="1"/>
    <col min="9" max="9" width="37.710937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9" x14ac:dyDescent="0.25">
      <c r="G1" s="13" t="s">
        <v>16</v>
      </c>
      <c r="H1" t="s">
        <v>20</v>
      </c>
    </row>
    <row r="3" spans="2:9" x14ac:dyDescent="0.25">
      <c r="C3" s="13" t="s">
        <v>314</v>
      </c>
      <c r="G3" s="13" t="s">
        <v>316</v>
      </c>
      <c r="H3" t="s">
        <v>317</v>
      </c>
    </row>
    <row r="4" spans="2:9" x14ac:dyDescent="0.25">
      <c r="C4" t="s">
        <v>23</v>
      </c>
      <c r="D4" t="s">
        <v>19</v>
      </c>
      <c r="E4" t="s">
        <v>315</v>
      </c>
      <c r="G4" s="14" t="s">
        <v>22</v>
      </c>
      <c r="H4" s="12">
        <v>0</v>
      </c>
    </row>
    <row r="5" spans="2:9" x14ac:dyDescent="0.25">
      <c r="B5" t="s">
        <v>313</v>
      </c>
      <c r="C5" s="19">
        <v>2824</v>
      </c>
      <c r="D5" s="19">
        <v>747</v>
      </c>
      <c r="E5" s="19">
        <v>3571</v>
      </c>
      <c r="G5" s="14" t="s">
        <v>26</v>
      </c>
      <c r="H5" s="12">
        <v>0</v>
      </c>
    </row>
    <row r="6" spans="2:9" x14ac:dyDescent="0.25">
      <c r="G6" s="14" t="s">
        <v>18</v>
      </c>
      <c r="H6" s="12">
        <v>1350</v>
      </c>
    </row>
    <row r="7" spans="2:9" x14ac:dyDescent="0.25">
      <c r="G7" s="14" t="s">
        <v>315</v>
      </c>
      <c r="H7" s="12">
        <v>1350</v>
      </c>
    </row>
    <row r="10" spans="2:9" x14ac:dyDescent="0.25">
      <c r="I10" s="18">
        <f>GETPIVOTDATA("EA Play Season Pass
Price",$G$3,"Plan","Ultimate")</f>
        <v>1350</v>
      </c>
    </row>
    <row r="11" spans="2:9" x14ac:dyDescent="0.25">
      <c r="B11" s="13" t="s">
        <v>16</v>
      </c>
      <c r="C11" t="s">
        <v>20</v>
      </c>
    </row>
    <row r="13" spans="2:9" x14ac:dyDescent="0.25">
      <c r="B13" s="13" t="s">
        <v>316</v>
      </c>
      <c r="C13" t="s">
        <v>319</v>
      </c>
    </row>
    <row r="14" spans="2:9" x14ac:dyDescent="0.25">
      <c r="B14" s="14" t="s">
        <v>22</v>
      </c>
      <c r="C14" s="12">
        <v>0</v>
      </c>
    </row>
    <row r="15" spans="2:9" x14ac:dyDescent="0.25">
      <c r="B15" s="14" t="s">
        <v>26</v>
      </c>
      <c r="C15" s="12">
        <v>900</v>
      </c>
    </row>
    <row r="16" spans="2:9" x14ac:dyDescent="0.25">
      <c r="B16" s="14" t="s">
        <v>18</v>
      </c>
      <c r="C16" s="12">
        <v>900</v>
      </c>
    </row>
    <row r="17" spans="2:6" x14ac:dyDescent="0.25">
      <c r="B17" s="14" t="s">
        <v>315</v>
      </c>
      <c r="C17" s="12">
        <v>1800</v>
      </c>
      <c r="F17" s="18">
        <f>GETPIVOTDATA("Minecraft Season Pass Price",$B$13)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A277"/>
  <sheetViews>
    <sheetView showGridLines="0" showRowColHeaders="0" tabSelected="1" zoomScale="80" zoomScaleNormal="80" workbookViewId="0">
      <selection activeCell="A24" sqref="A2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1" spans="1:53" s="4" customFormat="1" ht="114" customHeight="1" x14ac:dyDescent="0.25"/>
    <row r="2" spans="1:53" ht="39" customHeight="1" thickBot="1" x14ac:dyDescent="0.45">
      <c r="A2" s="16" t="s">
        <v>318</v>
      </c>
      <c r="B2" s="17"/>
      <c r="C2" s="17"/>
      <c r="D2" s="17"/>
      <c r="E2" s="17"/>
      <c r="F2" s="15"/>
      <c r="G2" s="15"/>
    </row>
    <row r="3" spans="1:53" ht="24" customHeight="1" thickTop="1" x14ac:dyDescent="0.25"/>
    <row r="4" spans="1:53" ht="23.2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ht="10.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ht="25.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ht="33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spans="1:5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 spans="1:5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 spans="1:5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x14ac:dyDescent="0.25">
      <c r="A33" s="7"/>
      <c r="B33" s="7"/>
      <c r="C33" s="7"/>
      <c r="D33" s="7" t="s">
        <v>320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  <row r="34" spans="1:53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 spans="1:53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 spans="1:53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 spans="1:53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 spans="1:5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 spans="1:5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 spans="1:53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 spans="1:5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 spans="1:53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 spans="1:53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 spans="1:5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 spans="1:5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 spans="1:5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 spans="1:5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 spans="1:5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 spans="1:5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 spans="1:5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 spans="1:5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 spans="1:5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 spans="1:5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 spans="1:5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 spans="1:53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 spans="1:53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 spans="1:5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 spans="1:5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 spans="1:53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 spans="1:53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 spans="1:53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 spans="1:53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 spans="1:53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 spans="1:53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 spans="1:53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 spans="1:53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 spans="1:53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 spans="1:53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 spans="1:53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 spans="1:53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 spans="1:53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 spans="1:53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 spans="1:53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1:53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 spans="1:53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 spans="1:53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 spans="1:53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 spans="1:53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 spans="1:53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 spans="1:53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 spans="1:53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 spans="1:53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</row>
    <row r="96" spans="1:53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</row>
    <row r="97" spans="1:53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 spans="1:53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 spans="1:53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 spans="1:53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</row>
    <row r="101" spans="1:53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</row>
    <row r="102" spans="1:53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</row>
    <row r="103" spans="1:53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</row>
    <row r="104" spans="1:53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</row>
    <row r="105" spans="1:53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</row>
    <row r="106" spans="1:53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</row>
    <row r="107" spans="1:53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</row>
    <row r="108" spans="1:53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</row>
    <row r="109" spans="1:53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</row>
    <row r="110" spans="1:53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</row>
    <row r="111" spans="1:53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</row>
    <row r="112" spans="1:53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</row>
    <row r="113" spans="1:53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</row>
    <row r="114" spans="1:53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</row>
    <row r="115" spans="1:53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</row>
    <row r="116" spans="1:53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</row>
    <row r="117" spans="1:53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</row>
    <row r="118" spans="1:53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</row>
    <row r="119" spans="1:53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</row>
    <row r="120" spans="1:53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</row>
    <row r="121" spans="1:53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</row>
    <row r="122" spans="1:53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</row>
    <row r="123" spans="1:53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</row>
    <row r="124" spans="1:53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</row>
    <row r="125" spans="1:53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</row>
    <row r="126" spans="1:53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</row>
    <row r="127" spans="1:53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</row>
    <row r="128" spans="1:53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</row>
    <row r="129" spans="1:53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</row>
    <row r="130" spans="1:53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</row>
    <row r="131" spans="1:53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 spans="1:53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</row>
    <row r="133" spans="1:53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 spans="1:53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</row>
    <row r="135" spans="1:53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 spans="1:53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</row>
    <row r="137" spans="1:53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 spans="1:53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</row>
    <row r="139" spans="1:53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 spans="1:53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</row>
    <row r="141" spans="1:53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 spans="1:53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</row>
    <row r="143" spans="1:53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 spans="1:53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</row>
    <row r="145" spans="1:53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 spans="1:53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</row>
    <row r="147" spans="1:53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 spans="1:53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</row>
    <row r="149" spans="1:53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 spans="1:53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 spans="1:53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 spans="1:53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</row>
    <row r="153" spans="1:53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 spans="1:53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</row>
    <row r="155" spans="1:53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</row>
    <row r="156" spans="1:53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</row>
    <row r="157" spans="1:53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 spans="1:53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</row>
    <row r="159" spans="1:53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 spans="1:53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</row>
    <row r="161" spans="1:53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</row>
    <row r="162" spans="1:53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</row>
    <row r="163" spans="1:53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</row>
    <row r="164" spans="1:53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</row>
    <row r="165" spans="1:53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</row>
    <row r="166" spans="1:53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</row>
    <row r="167" spans="1:53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</row>
    <row r="168" spans="1:53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</row>
    <row r="169" spans="1:53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</row>
    <row r="170" spans="1:53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</row>
    <row r="171" spans="1:53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</row>
    <row r="172" spans="1:53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</row>
    <row r="173" spans="1:53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</row>
    <row r="174" spans="1:53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</row>
    <row r="175" spans="1:53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</row>
    <row r="176" spans="1:53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</row>
    <row r="177" spans="1:53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</row>
    <row r="178" spans="1:53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</row>
    <row r="179" spans="1:53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</row>
    <row r="180" spans="1:53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</row>
    <row r="181" spans="1:53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</row>
    <row r="182" spans="1:53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</row>
    <row r="183" spans="1:53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 spans="1:53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</row>
    <row r="185" spans="1:53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 spans="1:53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</row>
    <row r="187" spans="1:53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</row>
    <row r="188" spans="1:53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</row>
    <row r="189" spans="1:53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</row>
    <row r="190" spans="1:53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</row>
    <row r="191" spans="1:53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 spans="1:53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 spans="1:53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 spans="1:53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</row>
    <row r="195" spans="1:53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</row>
    <row r="196" spans="1:53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</row>
    <row r="197" spans="1:53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</row>
    <row r="198" spans="1:53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</row>
    <row r="199" spans="1:53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</row>
    <row r="200" spans="1:53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</row>
    <row r="201" spans="1:53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</row>
    <row r="202" spans="1:53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</row>
    <row r="203" spans="1:53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</row>
    <row r="204" spans="1:53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</row>
    <row r="205" spans="1:53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</row>
    <row r="206" spans="1:53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</row>
    <row r="207" spans="1:53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</row>
    <row r="208" spans="1:53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</row>
    <row r="209" spans="1:53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</row>
    <row r="210" spans="1:53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</row>
    <row r="211" spans="1:53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</row>
    <row r="212" spans="1:53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</row>
    <row r="213" spans="1:53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</row>
    <row r="214" spans="1:53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 spans="1:53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 spans="1:53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 spans="1:53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</row>
    <row r="218" spans="1:53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</row>
    <row r="219" spans="1:53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</row>
    <row r="220" spans="1:53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</row>
    <row r="221" spans="1:53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</row>
    <row r="222" spans="1:53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</row>
    <row r="223" spans="1:53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</row>
    <row r="224" spans="1:53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</row>
    <row r="225" spans="1:53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</row>
    <row r="226" spans="1:53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 spans="1:53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</row>
    <row r="228" spans="1:53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</row>
    <row r="229" spans="1:53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</row>
    <row r="230" spans="1:53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</row>
    <row r="231" spans="1:53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</row>
    <row r="232" spans="1:53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</row>
    <row r="233" spans="1:53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</row>
    <row r="234" spans="1:53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</row>
    <row r="235" spans="1:53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</row>
    <row r="236" spans="1:53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</row>
    <row r="237" spans="1:53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</row>
    <row r="238" spans="1:53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</row>
    <row r="239" spans="1:53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</row>
    <row r="240" spans="1:53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</row>
    <row r="241" spans="1:53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</row>
    <row r="242" spans="1:53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</row>
    <row r="243" spans="1:53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</row>
    <row r="244" spans="1:53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</row>
    <row r="245" spans="1:53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</row>
    <row r="246" spans="1:53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</row>
    <row r="247" spans="1:53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</row>
    <row r="248" spans="1:53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</row>
    <row r="249" spans="1:53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</row>
    <row r="250" spans="1:53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</row>
    <row r="251" spans="1:53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</row>
    <row r="252" spans="1:53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</row>
    <row r="253" spans="1:53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</row>
    <row r="254" spans="1:53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</row>
    <row r="255" spans="1:53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</row>
    <row r="256" spans="1:53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</row>
    <row r="257" spans="1:53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</row>
    <row r="258" spans="1:53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</row>
    <row r="259" spans="1:53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</row>
    <row r="260" spans="1:53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</row>
    <row r="261" spans="1:53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</row>
    <row r="262" spans="1:53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</row>
    <row r="263" spans="1:53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</row>
    <row r="264" spans="1:53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</row>
    <row r="265" spans="1:53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</row>
    <row r="266" spans="1:53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</row>
    <row r="267" spans="1:53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</row>
    <row r="268" spans="1:53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</row>
    <row r="269" spans="1:53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</row>
    <row r="270" spans="1:53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</row>
    <row r="271" spans="1:53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</row>
    <row r="272" spans="1:53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</row>
    <row r="273" spans="1:53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</row>
    <row r="274" spans="1:53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</row>
    <row r="275" spans="1:53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</row>
    <row r="276" spans="1:53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</row>
    <row r="277" spans="1:53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Luiza Lacerda</cp:lastModifiedBy>
  <dcterms:created xsi:type="dcterms:W3CDTF">2024-12-19T13:13:10Z</dcterms:created>
  <dcterms:modified xsi:type="dcterms:W3CDTF">2026-10-15T17:03:08Z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